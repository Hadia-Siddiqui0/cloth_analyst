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02C2265-64AF-4CF8-A8ED-A13813A71CD7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Sheet1" sheetId="1" r:id="rId1"/>
    <sheet name="Daily Progress Sheet" sheetId="4" r:id="rId2"/>
    <sheet name="CMT" sheetId="9" r:id="rId3"/>
    <sheet name="Self Made " sheetId="8" r:id="rId4"/>
    <sheet name="Sheet4" sheetId="7" r:id="rId5"/>
    <sheet name="Sheet3" sheetId="3" r:id="rId6"/>
    <sheet name="Balance Sheet" sheetId="5" r:id="rId7"/>
    <sheet name="Sheet2" sheetId="2" r:id="rId8"/>
    <sheet name="Balance Sheet (2)" sheetId="6" r:id="rId9"/>
  </sheets>
  <calcPr calcId="191029"/>
</workbook>
</file>

<file path=xl/calcChain.xml><?xml version="1.0" encoding="utf-8"?>
<calcChain xmlns="http://schemas.openxmlformats.org/spreadsheetml/2006/main">
  <c r="AC7" i="9" l="1"/>
  <c r="AE4" i="9"/>
  <c r="E4" i="9"/>
  <c r="N4" i="9" s="1"/>
  <c r="AC4" i="9" s="1"/>
  <c r="C6" i="7"/>
  <c r="X36" i="9"/>
  <c r="Y36" i="9"/>
  <c r="Z36" i="9"/>
  <c r="AA36" i="9"/>
  <c r="AB36" i="9"/>
  <c r="AC20" i="9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W47" i="9"/>
  <c r="P36" i="9" s="1"/>
  <c r="W36" i="9"/>
  <c r="V36" i="9"/>
  <c r="U36" i="9"/>
  <c r="S36" i="9"/>
  <c r="R36" i="9"/>
  <c r="Q36" i="9"/>
  <c r="O36" i="9"/>
  <c r="D36" i="9"/>
  <c r="AE36" i="9" s="1"/>
  <c r="AE34" i="9"/>
  <c r="N34" i="9"/>
  <c r="AE33" i="9"/>
  <c r="N33" i="9"/>
  <c r="AC33" i="9" s="1"/>
  <c r="AE32" i="9"/>
  <c r="N32" i="9"/>
  <c r="AC32" i="9" s="1"/>
  <c r="AE31" i="9"/>
  <c r="N31" i="9"/>
  <c r="AC31" i="9" s="1"/>
  <c r="AE30" i="9"/>
  <c r="N30" i="9"/>
  <c r="AC30" i="9" s="1"/>
  <c r="AE29" i="9"/>
  <c r="N29" i="9"/>
  <c r="AC29" i="9" s="1"/>
  <c r="AE28" i="9"/>
  <c r="N28" i="9"/>
  <c r="AC28" i="9" s="1"/>
  <c r="AE27" i="9"/>
  <c r="N27" i="9"/>
  <c r="AC27" i="9" s="1"/>
  <c r="AE26" i="9"/>
  <c r="N26" i="9"/>
  <c r="AC26" i="9" s="1"/>
  <c r="AE25" i="9"/>
  <c r="N25" i="9"/>
  <c r="AC25" i="9" s="1"/>
  <c r="AE24" i="9"/>
  <c r="N24" i="9"/>
  <c r="AC24" i="9" s="1"/>
  <c r="AE23" i="9"/>
  <c r="N23" i="9"/>
  <c r="AC23" i="9" s="1"/>
  <c r="AE22" i="9"/>
  <c r="N22" i="9"/>
  <c r="AC22" i="9" s="1"/>
  <c r="AE21" i="9"/>
  <c r="N21" i="9"/>
  <c r="AC21" i="9" s="1"/>
  <c r="AE20" i="9"/>
  <c r="N20" i="9"/>
  <c r="AE19" i="9"/>
  <c r="N19" i="9"/>
  <c r="AC19" i="9" s="1"/>
  <c r="AE18" i="9"/>
  <c r="N18" i="9"/>
  <c r="AC18" i="9" s="1"/>
  <c r="AE17" i="9"/>
  <c r="N17" i="9"/>
  <c r="AC17" i="9" s="1"/>
  <c r="AE16" i="9"/>
  <c r="N16" i="9"/>
  <c r="AC16" i="9" s="1"/>
  <c r="AE15" i="9"/>
  <c r="N15" i="9"/>
  <c r="AC15" i="9" s="1"/>
  <c r="AE14" i="9"/>
  <c r="N14" i="9"/>
  <c r="AC14" i="9" s="1"/>
  <c r="AE13" i="9"/>
  <c r="N13" i="9"/>
  <c r="AC13" i="9" s="1"/>
  <c r="AE12" i="9"/>
  <c r="N12" i="9"/>
  <c r="AC12" i="9" s="1"/>
  <c r="AE11" i="9"/>
  <c r="N11" i="9"/>
  <c r="AC11" i="9" s="1"/>
  <c r="AE10" i="9"/>
  <c r="N10" i="9"/>
  <c r="AC10" i="9" s="1"/>
  <c r="AE9" i="9"/>
  <c r="N9" i="9"/>
  <c r="AC9" i="9" s="1"/>
  <c r="AE8" i="9"/>
  <c r="N8" i="9"/>
  <c r="AC8" i="9" s="1"/>
  <c r="AE7" i="9"/>
  <c r="N7" i="9"/>
  <c r="AE6" i="9"/>
  <c r="N6" i="9"/>
  <c r="AC6" i="9" s="1"/>
  <c r="AE5" i="9"/>
  <c r="N5" i="9"/>
  <c r="AC5" i="9" s="1"/>
  <c r="O13" i="7"/>
  <c r="Q13" i="7" s="1"/>
  <c r="M13" i="7"/>
  <c r="F12" i="7"/>
  <c r="M12" i="7" s="1"/>
  <c r="O12" i="7" s="1"/>
  <c r="Q12" i="7" s="1"/>
  <c r="F13" i="7"/>
  <c r="C12" i="7"/>
  <c r="C13" i="7"/>
  <c r="C9" i="7"/>
  <c r="C10" i="7"/>
  <c r="C8" i="7"/>
  <c r="F9" i="7"/>
  <c r="M9" i="7" s="1"/>
  <c r="O9" i="7" s="1"/>
  <c r="Q9" i="7" s="1"/>
  <c r="F10" i="7"/>
  <c r="M10" i="7" s="1"/>
  <c r="O10" i="7" s="1"/>
  <c r="Q10" i="7" s="1"/>
  <c r="F8" i="7"/>
  <c r="M8" i="7" s="1"/>
  <c r="O8" i="7" s="1"/>
  <c r="Q8" i="7" s="1"/>
  <c r="F4" i="7"/>
  <c r="M4" i="7" s="1"/>
  <c r="O4" i="7" s="1"/>
  <c r="Q4" i="7" s="1"/>
  <c r="AF4" i="9" l="1"/>
  <c r="AF33" i="9"/>
  <c r="AF29" i="9"/>
  <c r="AF21" i="9"/>
  <c r="AF17" i="9"/>
  <c r="AF9" i="9"/>
  <c r="AF27" i="9"/>
  <c r="AF11" i="9"/>
  <c r="AF13" i="9"/>
  <c r="AF5" i="9"/>
  <c r="AF8" i="9"/>
  <c r="AF24" i="9"/>
  <c r="AF28" i="9"/>
  <c r="AF18" i="9"/>
  <c r="AF25" i="9"/>
  <c r="AC34" i="9"/>
  <c r="AF34" i="9" s="1"/>
  <c r="T36" i="9"/>
  <c r="AF14" i="9"/>
  <c r="AF19" i="9"/>
  <c r="AF20" i="9"/>
  <c r="AF30" i="9"/>
  <c r="AF7" i="9"/>
  <c r="AF23" i="9"/>
  <c r="AF12" i="9"/>
  <c r="AF15" i="9"/>
  <c r="AF16" i="9"/>
  <c r="AF31" i="9"/>
  <c r="AF32" i="9"/>
  <c r="AF10" i="9"/>
  <c r="AF26" i="9"/>
  <c r="AF6" i="9"/>
  <c r="AF22" i="9"/>
  <c r="N36" i="9"/>
  <c r="Q40" i="8"/>
  <c r="P40" i="8"/>
  <c r="O40" i="8"/>
  <c r="N40" i="8"/>
  <c r="L40" i="8"/>
  <c r="K40" i="8"/>
  <c r="J40" i="8"/>
  <c r="I40" i="8"/>
  <c r="H40" i="8"/>
  <c r="D40" i="8"/>
  <c r="T40" i="8" s="1"/>
  <c r="T38" i="8"/>
  <c r="M38" i="8"/>
  <c r="G38" i="8"/>
  <c r="T37" i="8"/>
  <c r="M37" i="8"/>
  <c r="G37" i="8"/>
  <c r="T36" i="8"/>
  <c r="M36" i="8"/>
  <c r="G36" i="8"/>
  <c r="T35" i="8"/>
  <c r="M35" i="8"/>
  <c r="G35" i="8"/>
  <c r="T34" i="8"/>
  <c r="M34" i="8"/>
  <c r="G34" i="8"/>
  <c r="T33" i="8"/>
  <c r="M33" i="8"/>
  <c r="G33" i="8"/>
  <c r="T32" i="8"/>
  <c r="M32" i="8"/>
  <c r="G32" i="8"/>
  <c r="T31" i="8"/>
  <c r="M31" i="8"/>
  <c r="G31" i="8"/>
  <c r="T30" i="8"/>
  <c r="M30" i="8"/>
  <c r="G30" i="8"/>
  <c r="T29" i="8"/>
  <c r="M29" i="8"/>
  <c r="G29" i="8"/>
  <c r="T28" i="8"/>
  <c r="M28" i="8"/>
  <c r="G28" i="8"/>
  <c r="T27" i="8"/>
  <c r="M27" i="8"/>
  <c r="G27" i="8"/>
  <c r="T26" i="8"/>
  <c r="M26" i="8"/>
  <c r="G26" i="8"/>
  <c r="T25" i="8"/>
  <c r="M25" i="8"/>
  <c r="G25" i="8"/>
  <c r="R25" i="8" s="1"/>
  <c r="T24" i="8"/>
  <c r="M24" i="8"/>
  <c r="G24" i="8"/>
  <c r="T23" i="8"/>
  <c r="M23" i="8"/>
  <c r="G23" i="8"/>
  <c r="T22" i="8"/>
  <c r="M22" i="8"/>
  <c r="G22" i="8"/>
  <c r="T21" i="8"/>
  <c r="M21" i="8"/>
  <c r="G21" i="8"/>
  <c r="T20" i="8"/>
  <c r="M20" i="8"/>
  <c r="G20" i="8"/>
  <c r="T19" i="8"/>
  <c r="M19" i="8"/>
  <c r="G19" i="8"/>
  <c r="T18" i="8"/>
  <c r="M18" i="8"/>
  <c r="G18" i="8"/>
  <c r="T17" i="8"/>
  <c r="M17" i="8"/>
  <c r="G17" i="8"/>
  <c r="T16" i="8"/>
  <c r="M16" i="8"/>
  <c r="G16" i="8"/>
  <c r="T15" i="8"/>
  <c r="M15" i="8"/>
  <c r="G15" i="8"/>
  <c r="T14" i="8"/>
  <c r="M14" i="8"/>
  <c r="G14" i="8"/>
  <c r="T13" i="8"/>
  <c r="M13" i="8"/>
  <c r="G13" i="8"/>
  <c r="T12" i="8"/>
  <c r="M12" i="8"/>
  <c r="G12" i="8"/>
  <c r="T11" i="8"/>
  <c r="M11" i="8"/>
  <c r="G11" i="8"/>
  <c r="T10" i="8"/>
  <c r="M10" i="8"/>
  <c r="G10" i="8"/>
  <c r="T9" i="8"/>
  <c r="M9" i="8"/>
  <c r="G9" i="8"/>
  <c r="R9" i="8" s="1"/>
  <c r="U9" i="8" s="1"/>
  <c r="T8" i="8"/>
  <c r="M8" i="8"/>
  <c r="G8" i="8"/>
  <c r="T7" i="8"/>
  <c r="M7" i="8"/>
  <c r="G7" i="8"/>
  <c r="T6" i="8"/>
  <c r="M6" i="8"/>
  <c r="G6" i="8"/>
  <c r="T5" i="8"/>
  <c r="M5" i="8"/>
  <c r="G5" i="8"/>
  <c r="R5" i="8" s="1"/>
  <c r="U5" i="8" s="1"/>
  <c r="T4" i="8"/>
  <c r="G4" i="8"/>
  <c r="R4" i="8" s="1"/>
  <c r="K40" i="4"/>
  <c r="M37" i="4"/>
  <c r="M38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I40" i="4"/>
  <c r="J40" i="4"/>
  <c r="H40" i="4"/>
  <c r="E175" i="6"/>
  <c r="D175" i="6"/>
  <c r="F4" i="6"/>
  <c r="F5" i="6" s="1"/>
  <c r="F6" i="6" s="1"/>
  <c r="F7" i="6" s="1"/>
  <c r="F8" i="6" s="1"/>
  <c r="F9" i="6" s="1"/>
  <c r="F10" i="6" s="1"/>
  <c r="F1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D36" i="3"/>
  <c r="F12" i="5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5" i="3"/>
  <c r="Q40" i="4"/>
  <c r="P40" i="4"/>
  <c r="O40" i="4"/>
  <c r="N40" i="4"/>
  <c r="L40" i="4"/>
  <c r="D40" i="4"/>
  <c r="G40" i="4" s="1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G34" i="4"/>
  <c r="G35" i="4"/>
  <c r="R35" i="4" s="1"/>
  <c r="G36" i="4"/>
  <c r="G37" i="4"/>
  <c r="G38" i="4"/>
  <c r="R38" i="4" s="1"/>
  <c r="E6" i="2"/>
  <c r="E7" i="2"/>
  <c r="E8" i="2"/>
  <c r="E9" i="2"/>
  <c r="E10" i="2"/>
  <c r="C12" i="2"/>
  <c r="E5" i="2"/>
  <c r="G14" i="4"/>
  <c r="G17" i="4"/>
  <c r="G33" i="4"/>
  <c r="G32" i="4"/>
  <c r="G31" i="4"/>
  <c r="G30" i="4"/>
  <c r="R30" i="4" s="1"/>
  <c r="G29" i="4"/>
  <c r="R29" i="4" s="1"/>
  <c r="G28" i="4"/>
  <c r="G27" i="4"/>
  <c r="R27" i="4" s="1"/>
  <c r="G26" i="4"/>
  <c r="R26" i="4" s="1"/>
  <c r="G25" i="4"/>
  <c r="G24" i="4"/>
  <c r="G23" i="4"/>
  <c r="R23" i="4" s="1"/>
  <c r="G22" i="4"/>
  <c r="R22" i="4" s="1"/>
  <c r="G21" i="4"/>
  <c r="R21" i="4" s="1"/>
  <c r="G20" i="4"/>
  <c r="G19" i="4"/>
  <c r="G18" i="4"/>
  <c r="G16" i="4"/>
  <c r="G15" i="4"/>
  <c r="R15" i="4" s="1"/>
  <c r="G13" i="4"/>
  <c r="G12" i="4"/>
  <c r="G11" i="4"/>
  <c r="R11" i="4" s="1"/>
  <c r="G10" i="4"/>
  <c r="G9" i="4"/>
  <c r="R9" i="4" s="1"/>
  <c r="G8" i="4"/>
  <c r="T7" i="4"/>
  <c r="G7" i="4"/>
  <c r="R7" i="4" s="1"/>
  <c r="T6" i="4"/>
  <c r="G6" i="4"/>
  <c r="T5" i="4"/>
  <c r="G5" i="4"/>
  <c r="T4" i="4"/>
  <c r="G4" i="4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11" i="1"/>
  <c r="Q5" i="1"/>
  <c r="Q6" i="1"/>
  <c r="Q7" i="1"/>
  <c r="Q8" i="1"/>
  <c r="Q9" i="1"/>
  <c r="Q10" i="1"/>
  <c r="G5" i="1"/>
  <c r="O5" i="1" s="1"/>
  <c r="G6" i="1"/>
  <c r="O6" i="1" s="1"/>
  <c r="G7" i="1"/>
  <c r="O7" i="1" s="1"/>
  <c r="G8" i="1"/>
  <c r="O8" i="1" s="1"/>
  <c r="G9" i="1"/>
  <c r="O9" i="1" s="1"/>
  <c r="G10" i="1"/>
  <c r="O10" i="1" s="1"/>
  <c r="G4" i="1"/>
  <c r="O12" i="1" s="1"/>
  <c r="Q4" i="1"/>
  <c r="G14" i="1"/>
  <c r="AC36" i="9" l="1"/>
  <c r="AF36" i="9" s="1"/>
  <c r="R8" i="8"/>
  <c r="R19" i="4"/>
  <c r="R17" i="4"/>
  <c r="R29" i="8"/>
  <c r="U29" i="8" s="1"/>
  <c r="R6" i="4"/>
  <c r="E12" i="2"/>
  <c r="R33" i="4"/>
  <c r="R25" i="4"/>
  <c r="U25" i="4" s="1"/>
  <c r="U25" i="8"/>
  <c r="R31" i="4"/>
  <c r="R18" i="4"/>
  <c r="R40" i="4"/>
  <c r="R7" i="8"/>
  <c r="U7" i="8" s="1"/>
  <c r="R33" i="8"/>
  <c r="U33" i="8" s="1"/>
  <c r="R15" i="8"/>
  <c r="R23" i="8"/>
  <c r="U23" i="8" s="1"/>
  <c r="R21" i="8"/>
  <c r="U21" i="8" s="1"/>
  <c r="R13" i="8"/>
  <c r="U13" i="8" s="1"/>
  <c r="R17" i="8"/>
  <c r="U17" i="8" s="1"/>
  <c r="R26" i="8"/>
  <c r="U26" i="8" s="1"/>
  <c r="R34" i="8"/>
  <c r="U34" i="8" s="1"/>
  <c r="R10" i="8"/>
  <c r="U10" i="8" s="1"/>
  <c r="R18" i="8"/>
  <c r="U18" i="8" s="1"/>
  <c r="R31" i="8"/>
  <c r="U31" i="8" s="1"/>
  <c r="R32" i="8"/>
  <c r="U32" i="8" s="1"/>
  <c r="R16" i="8"/>
  <c r="U16" i="8" s="1"/>
  <c r="R24" i="8"/>
  <c r="U24" i="8" s="1"/>
  <c r="R37" i="8"/>
  <c r="U37" i="8" s="1"/>
  <c r="U15" i="8"/>
  <c r="R6" i="8"/>
  <c r="U6" i="8" s="1"/>
  <c r="U8" i="8"/>
  <c r="R11" i="8"/>
  <c r="U11" i="8" s="1"/>
  <c r="R12" i="8"/>
  <c r="U12" i="8" s="1"/>
  <c r="R22" i="8"/>
  <c r="U22" i="8" s="1"/>
  <c r="R27" i="8"/>
  <c r="U27" i="8" s="1"/>
  <c r="R28" i="8"/>
  <c r="U28" i="8" s="1"/>
  <c r="R38" i="8"/>
  <c r="U38" i="8" s="1"/>
  <c r="M40" i="8"/>
  <c r="R14" i="8"/>
  <c r="U14" i="8" s="1"/>
  <c r="R19" i="8"/>
  <c r="U19" i="8" s="1"/>
  <c r="R20" i="8"/>
  <c r="U20" i="8" s="1"/>
  <c r="R30" i="8"/>
  <c r="U30" i="8" s="1"/>
  <c r="R35" i="8"/>
  <c r="U35" i="8" s="1"/>
  <c r="R36" i="8"/>
  <c r="U36" i="8" s="1"/>
  <c r="U4" i="8"/>
  <c r="G40" i="8"/>
  <c r="R16" i="4"/>
  <c r="R36" i="4"/>
  <c r="U36" i="4" s="1"/>
  <c r="R10" i="4"/>
  <c r="U10" i="4" s="1"/>
  <c r="R8" i="4"/>
  <c r="U8" i="4" s="1"/>
  <c r="R12" i="4"/>
  <c r="U12" i="4" s="1"/>
  <c r="C22" i="3"/>
  <c r="C5" i="3"/>
  <c r="E5" i="3" s="1"/>
  <c r="R4" i="4"/>
  <c r="U4" i="4" s="1"/>
  <c r="R37" i="4"/>
  <c r="M40" i="4"/>
  <c r="R5" i="4"/>
  <c r="U5" i="4" s="1"/>
  <c r="R20" i="4"/>
  <c r="U20" i="4" s="1"/>
  <c r="R24" i="4"/>
  <c r="U24" i="4" s="1"/>
  <c r="R28" i="4"/>
  <c r="R32" i="4"/>
  <c r="U32" i="4" s="1"/>
  <c r="R13" i="4"/>
  <c r="U13" i="4" s="1"/>
  <c r="R14" i="4"/>
  <c r="U14" i="4" s="1"/>
  <c r="R34" i="4"/>
  <c r="U34" i="4" s="1"/>
  <c r="C30" i="3"/>
  <c r="C32" i="3"/>
  <c r="C24" i="3"/>
  <c r="C14" i="3"/>
  <c r="C34" i="3"/>
  <c r="C26" i="3"/>
  <c r="C16" i="3"/>
  <c r="C28" i="3"/>
  <c r="C20" i="3"/>
  <c r="C33" i="3"/>
  <c r="C29" i="3"/>
  <c r="C25" i="3"/>
  <c r="C21" i="3"/>
  <c r="C17" i="3"/>
  <c r="C13" i="3"/>
  <c r="C18" i="3"/>
  <c r="C31" i="3"/>
  <c r="C27" i="3"/>
  <c r="C23" i="3"/>
  <c r="C19" i="3"/>
  <c r="C15" i="3"/>
  <c r="C12" i="3"/>
  <c r="C10" i="3"/>
  <c r="C8" i="3"/>
  <c r="C6" i="3"/>
  <c r="C11" i="3"/>
  <c r="C9" i="3"/>
  <c r="C7" i="3"/>
  <c r="R8" i="1"/>
  <c r="R6" i="1"/>
  <c r="R10" i="1"/>
  <c r="R9" i="1"/>
  <c r="R7" i="1"/>
  <c r="R5" i="1"/>
  <c r="O4" i="1"/>
  <c r="R4" i="1" s="1"/>
  <c r="U38" i="4"/>
  <c r="U30" i="4"/>
  <c r="U28" i="4"/>
  <c r="U26" i="4"/>
  <c r="U22" i="4"/>
  <c r="U18" i="4"/>
  <c r="U16" i="4"/>
  <c r="U37" i="4"/>
  <c r="U35" i="4"/>
  <c r="U33" i="4"/>
  <c r="U31" i="4"/>
  <c r="U29" i="4"/>
  <c r="U27" i="4"/>
  <c r="U23" i="4"/>
  <c r="U21" i="4"/>
  <c r="U19" i="4"/>
  <c r="U17" i="4"/>
  <c r="U15" i="4"/>
  <c r="U11" i="4"/>
  <c r="U9" i="4"/>
  <c r="U6" i="4"/>
  <c r="U7" i="4"/>
  <c r="T40" i="4"/>
  <c r="R40" i="8" l="1"/>
  <c r="U40" i="8" s="1"/>
  <c r="E6" i="3"/>
  <c r="E7" i="3" s="1"/>
  <c r="E8" i="3" s="1"/>
  <c r="U40" i="4"/>
  <c r="E9" i="3" l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</calcChain>
</file>

<file path=xl/sharedStrings.xml><?xml version="1.0" encoding="utf-8"?>
<sst xmlns="http://schemas.openxmlformats.org/spreadsheetml/2006/main" count="405" uniqueCount="186">
  <si>
    <t>Date</t>
  </si>
  <si>
    <t>Article</t>
  </si>
  <si>
    <t>Quantity</t>
  </si>
  <si>
    <t>Amount</t>
  </si>
  <si>
    <t>Amount/pice</t>
  </si>
  <si>
    <t>Maintanace</t>
  </si>
  <si>
    <t>Helper</t>
  </si>
  <si>
    <t>KAAJ/Button</t>
  </si>
  <si>
    <t>Elect</t>
  </si>
  <si>
    <t>Rent</t>
  </si>
  <si>
    <t>Transpotaion</t>
  </si>
  <si>
    <t>MIS</t>
  </si>
  <si>
    <t>Total</t>
  </si>
  <si>
    <t>Supp</t>
  </si>
  <si>
    <t>Factory</t>
  </si>
  <si>
    <t>Profit</t>
  </si>
  <si>
    <t>Machine</t>
  </si>
  <si>
    <t>Price</t>
  </si>
  <si>
    <t>Total Amount</t>
  </si>
  <si>
    <t>Singer</t>
  </si>
  <si>
    <t>Two Niddle</t>
  </si>
  <si>
    <t xml:space="preserve"> Over Lock</t>
  </si>
  <si>
    <t>Sefty</t>
  </si>
  <si>
    <t>Consaee</t>
  </si>
  <si>
    <t>Feedo</t>
  </si>
  <si>
    <t>Balance</t>
  </si>
  <si>
    <t>Description</t>
  </si>
  <si>
    <t>Amount Recive</t>
  </si>
  <si>
    <t>Used</t>
  </si>
  <si>
    <t>S No</t>
  </si>
  <si>
    <t>Kazmi Sent Farhan Account</t>
  </si>
  <si>
    <t>Tea for Q.C of TF</t>
  </si>
  <si>
    <t>Lunch</t>
  </si>
  <si>
    <t>Cold drink 500 ML</t>
  </si>
  <si>
    <t>Tea for Baying staff</t>
  </si>
  <si>
    <t>Lunch for Q.C of TF</t>
  </si>
  <si>
    <t>Tea and biscutes</t>
  </si>
  <si>
    <t>Niddle DP 5 18-No 2patty</t>
  </si>
  <si>
    <t>Feedo machine guage set</t>
  </si>
  <si>
    <t>Feedo machine Niddle bar screw</t>
  </si>
  <si>
    <t>Tea for all day</t>
  </si>
  <si>
    <t>Open a drain line of factry</t>
  </si>
  <si>
    <t>Electric plyer 1 piece</t>
  </si>
  <si>
    <t xml:space="preserve">Mobile balance for shahid bhai </t>
  </si>
  <si>
    <t xml:space="preserve">Bick petrol for factry to site area </t>
  </si>
  <si>
    <t>Rubber roller for feedo machine for puller.</t>
  </si>
  <si>
    <t>13-11-17</t>
  </si>
  <si>
    <t>Gagan contector advance</t>
  </si>
  <si>
    <t>Factory rent for the month of November 2017</t>
  </si>
  <si>
    <t>kansai machine niddle plate and boot repairing</t>
  </si>
  <si>
    <t>Feedo machine boot rod and screw purchasing</t>
  </si>
  <si>
    <t xml:space="preserve">Advance against salary to Mr shahid </t>
  </si>
  <si>
    <t>Bick petrol for factry to istar gate for labour arrangement</t>
  </si>
  <si>
    <t>15-11-2017</t>
  </si>
  <si>
    <t>Alter tape two piece</t>
  </si>
  <si>
    <t xml:space="preserve"> Mobile balance Mr shahid </t>
  </si>
  <si>
    <t>Paid to Mr rizwan mechenic for feedo machine repiaring</t>
  </si>
  <si>
    <t>13-11-2017</t>
  </si>
  <si>
    <t>Twiser two Piece</t>
  </si>
  <si>
    <t>Elfi One piece</t>
  </si>
  <si>
    <t>Niddle screw driver two piece</t>
  </si>
  <si>
    <t>Feedo folder MH</t>
  </si>
  <si>
    <t>Niddle screw Boot screw Niddle plate screw 12+12+12</t>
  </si>
  <si>
    <t>Niddle T v 5 19 no 1 Patta</t>
  </si>
  <si>
    <t>Cleeper 6piece</t>
  </si>
  <si>
    <t>Feedo looper pipe</t>
  </si>
  <si>
    <t>Sillicon oil 1/2 leter</t>
  </si>
  <si>
    <t xml:space="preserve">Boot two Niddle 1/4 two piece </t>
  </si>
  <si>
    <t>Zipper Boot Three Piece</t>
  </si>
  <si>
    <t>stationary</t>
  </si>
  <si>
    <t>Gagan contector advance for feedo opretor</t>
  </si>
  <si>
    <t>16-11-2017</t>
  </si>
  <si>
    <t>Lunch for Planing Manager of TF</t>
  </si>
  <si>
    <t>Tea for Losan Qc</t>
  </si>
  <si>
    <t>17-11-2017</t>
  </si>
  <si>
    <t>Hamri paper</t>
  </si>
  <si>
    <t>14-11-2017</t>
  </si>
  <si>
    <t>Arshad mecheninc Advance against salary</t>
  </si>
  <si>
    <t>Advance against salary to Ejaz Helper</t>
  </si>
  <si>
    <t>color penciles two piece</t>
  </si>
  <si>
    <t>V-Belt for Over lock machine</t>
  </si>
  <si>
    <t xml:space="preserve">Advane against salary to Mr Gagun </t>
  </si>
  <si>
    <t>Sweeper salary for the month of october 2017</t>
  </si>
  <si>
    <t>Suzuki rent for TF to factry</t>
  </si>
  <si>
    <t>Bick petrol for factry to TF</t>
  </si>
  <si>
    <t>Moblile balance for plaining manager of TF</t>
  </si>
  <si>
    <t>Pying amount of TF loader</t>
  </si>
  <si>
    <t>Tea and biscuts for TF QC</t>
  </si>
  <si>
    <t>Tea for Guaistsa</t>
  </si>
  <si>
    <t>Cold drink For TF QC</t>
  </si>
  <si>
    <t>18-11-2017</t>
  </si>
  <si>
    <t>Tea for Guaists</t>
  </si>
  <si>
    <t>crockery (soucers and spoons)</t>
  </si>
  <si>
    <t>19-11-2017</t>
  </si>
  <si>
    <t>Gagun contector Advance against article no 0001</t>
  </si>
  <si>
    <t xml:space="preserve">Advace against salary to Mr shahid </t>
  </si>
  <si>
    <t>Electric jug for tea making</t>
  </si>
  <si>
    <t>Pot and spoon for Tea Leaf/Shugar/milk</t>
  </si>
  <si>
    <t>Every day powder milk 400grams</t>
  </si>
  <si>
    <t>Lipton Tea baig 100 saashy</t>
  </si>
  <si>
    <t>Shugar 1kg</t>
  </si>
  <si>
    <t>Green Tea saashy</t>
  </si>
  <si>
    <t>20-11-2017</t>
  </si>
  <si>
    <t>Tea and Pan</t>
  </si>
  <si>
    <t>Bick petrol Factry to TF</t>
  </si>
  <si>
    <t>Advance against article 0001 for Mr Ismail contector</t>
  </si>
  <si>
    <t>21-11-2017</t>
  </si>
  <si>
    <t>Bobin winder 1 piece</t>
  </si>
  <si>
    <t>Brother machine tank kekra 2 piece</t>
  </si>
  <si>
    <t>Niddle Kansai machine no 18 1pack</t>
  </si>
  <si>
    <t>Niddle Uo no 18 1piece</t>
  </si>
  <si>
    <t>Niddle T v 5 18 no 1 piece</t>
  </si>
  <si>
    <t>Press water  Rubber Pipe 10ft</t>
  </si>
  <si>
    <t>22-11-2017</t>
  </si>
  <si>
    <t>Electric Pluge 5piece</t>
  </si>
  <si>
    <t>Westege Fabric for cleaning 10kg</t>
  </si>
  <si>
    <t>Knasai machine folder 1piece</t>
  </si>
  <si>
    <t>Bobin case 12piece</t>
  </si>
  <si>
    <t>Bobines 25 Piece</t>
  </si>
  <si>
    <t>Niddle screw L-key Two piece</t>
  </si>
  <si>
    <t>Singer Machine boot lifter 3Piece</t>
  </si>
  <si>
    <t>Suzuki rent for Gabool twon to factry 2 round</t>
  </si>
  <si>
    <t>Loder for machine shifting 2 round</t>
  </si>
  <si>
    <t>23-11-2017</t>
  </si>
  <si>
    <t xml:space="preserve">Petrol for Genrator </t>
  </si>
  <si>
    <t>Advane against article no 0001 for Mr Ismail contector</t>
  </si>
  <si>
    <t>24-11-2017</t>
  </si>
  <si>
    <t>Oil for Genrtor Engien 4Ltr</t>
  </si>
  <si>
    <t>Petrol for Bick factry to T F</t>
  </si>
  <si>
    <t>Guaid Boot for Two Niddle Machine 1piece</t>
  </si>
  <si>
    <t>25-11-2017</t>
  </si>
  <si>
    <t>Receive</t>
  </si>
  <si>
    <t>Contractor Invoice</t>
  </si>
  <si>
    <t>Note</t>
  </si>
  <si>
    <t>SSGC</t>
  </si>
  <si>
    <t>Security</t>
  </si>
  <si>
    <t>Sweeper</t>
  </si>
  <si>
    <t>Amount/     Piece</t>
  </si>
  <si>
    <t>Kaaj/      Button</t>
  </si>
  <si>
    <t>Transp</t>
  </si>
  <si>
    <t>Mechanic</t>
  </si>
  <si>
    <t>Helper/  Loader</t>
  </si>
  <si>
    <t>Amount/   Piece</t>
  </si>
  <si>
    <t>Supervioser                   &gt;One suppervioser need per Floor Salary    40,000</t>
  </si>
  <si>
    <t>Helper                             &gt; one Driver  and Two Helper salary min      15,000</t>
  </si>
  <si>
    <t>Security Gards              &gt;Tow Guards are required each salary         20,000</t>
  </si>
  <si>
    <t>Rent                                &gt;8 PKR per  piece</t>
  </si>
  <si>
    <t>Production per Day     &gt; 2500 Piece</t>
  </si>
  <si>
    <t xml:space="preserve">Cloth </t>
  </si>
  <si>
    <t>Steaching/   peace</t>
  </si>
  <si>
    <t>Cloth/  Peace</t>
  </si>
  <si>
    <t>Amout/ Meter</t>
  </si>
  <si>
    <t>Cloth Amount/   peace</t>
  </si>
  <si>
    <t>washing/  Peace</t>
  </si>
  <si>
    <t>Cards &amp; Leable</t>
  </si>
  <si>
    <t>Transport</t>
  </si>
  <si>
    <t>Product</t>
  </si>
  <si>
    <t>embroidery/                                   peace</t>
  </si>
  <si>
    <t>Black Nated</t>
  </si>
  <si>
    <t>Colour Nated</t>
  </si>
  <si>
    <t>Seal/Peace</t>
  </si>
  <si>
    <t>Profit/peace</t>
  </si>
  <si>
    <t>Total Profit</t>
  </si>
  <si>
    <t>Total Peace</t>
  </si>
  <si>
    <t>Mis</t>
  </si>
  <si>
    <t>Blue Saton</t>
  </si>
  <si>
    <t>Black Saton</t>
  </si>
  <si>
    <t>Colour Saton</t>
  </si>
  <si>
    <t>Mendis Blue</t>
  </si>
  <si>
    <t>Mendis Black</t>
  </si>
  <si>
    <t>Self made</t>
  </si>
  <si>
    <t>CMT</t>
  </si>
  <si>
    <t>Operator</t>
  </si>
  <si>
    <t>Fule</t>
  </si>
  <si>
    <t>Chaker</t>
  </si>
  <si>
    <t>QC</t>
  </si>
  <si>
    <t>Incharge</t>
  </si>
  <si>
    <t>HR/Acc</t>
  </si>
  <si>
    <t>Self prtint</t>
  </si>
  <si>
    <t>shard card</t>
  </si>
  <si>
    <t>color</t>
  </si>
  <si>
    <t>prees</t>
  </si>
  <si>
    <t>Bukram</t>
  </si>
  <si>
    <t>Cutting</t>
  </si>
  <si>
    <t>Traed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</si>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</sst>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#,##0.00;[Red]#,##0.00"/>
    <numFmt numFmtId="166" formatCode="_(* #,##0_);_(* \(#,##0\);_(* &quot;-&quot;??_);_(@_)"/>
    <numFmt numFmtId="167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06">
    <xf numFmtId="0" fontId="0" fillId="0" borderId="0" xfId="0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/>
    <xf numFmtId="0" fontId="2" fillId="0" borderId="10" xfId="0" applyFont="1" applyBorder="1"/>
    <xf numFmtId="4" fontId="3" fillId="0" borderId="1" xfId="0" applyNumberFormat="1" applyFont="1" applyBorder="1"/>
    <xf numFmtId="4" fontId="3" fillId="0" borderId="10" xfId="0" applyNumberFormat="1" applyFont="1" applyBorder="1"/>
    <xf numFmtId="164" fontId="3" fillId="0" borderId="3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0" fontId="0" fillId="2" borderId="0" xfId="0" applyFill="1"/>
    <xf numFmtId="164" fontId="3" fillId="0" borderId="9" xfId="0" applyNumberFormat="1" applyFont="1" applyBorder="1" applyAlignment="1">
      <alignment horizontal="center"/>
    </xf>
    <xf numFmtId="4" fontId="3" fillId="2" borderId="18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6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4" fontId="3" fillId="2" borderId="31" xfId="0" applyNumberFormat="1" applyFont="1" applyFill="1" applyBorder="1" applyAlignment="1">
      <alignment horizontal="center" vertical="center"/>
    </xf>
    <xf numFmtId="4" fontId="3" fillId="0" borderId="31" xfId="0" applyNumberFormat="1" applyFon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164" fontId="3" fillId="0" borderId="34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19" xfId="0" applyBorder="1"/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23" xfId="0" applyBorder="1"/>
    <xf numFmtId="0" fontId="0" fillId="0" borderId="35" xfId="0" applyBorder="1"/>
    <xf numFmtId="0" fontId="0" fillId="0" borderId="28" xfId="0" applyBorder="1"/>
    <xf numFmtId="0" fontId="0" fillId="0" borderId="36" xfId="0" applyBorder="1"/>
    <xf numFmtId="0" fontId="1" fillId="0" borderId="1" xfId="0" applyFont="1" applyBorder="1"/>
    <xf numFmtId="4" fontId="4" fillId="0" borderId="1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" fillId="3" borderId="1" xfId="0" applyFont="1" applyFill="1" applyBorder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37" xfId="0" applyBorder="1"/>
    <xf numFmtId="0" fontId="0" fillId="0" borderId="38" xfId="0" applyBorder="1"/>
    <xf numFmtId="0" fontId="4" fillId="0" borderId="3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7" xfId="0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3" borderId="0" xfId="0" applyFill="1"/>
    <xf numFmtId="0" fontId="4" fillId="3" borderId="39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10" xfId="0" applyFill="1" applyBorder="1"/>
    <xf numFmtId="0" fontId="0" fillId="3" borderId="19" xfId="0" applyFill="1" applyBorder="1"/>
    <xf numFmtId="14" fontId="4" fillId="0" borderId="1" xfId="0" applyNumberFormat="1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2" fontId="10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3" borderId="24" xfId="0" applyFont="1" applyFill="1" applyBorder="1" applyAlignment="1">
      <alignment horizontal="center" vertical="center"/>
    </xf>
    <xf numFmtId="14" fontId="4" fillId="3" borderId="25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 vertical="center"/>
    </xf>
    <xf numFmtId="2" fontId="4" fillId="3" borderId="25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2" fontId="10" fillId="3" borderId="1" xfId="0" applyNumberFormat="1" applyFont="1" applyFill="1" applyBorder="1"/>
    <xf numFmtId="2" fontId="0" fillId="4" borderId="1" xfId="0" applyNumberFormat="1" applyFill="1" applyBorder="1"/>
    <xf numFmtId="16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2" fontId="7" fillId="0" borderId="18" xfId="0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/>
    <xf numFmtId="166" fontId="2" fillId="0" borderId="18" xfId="1" applyNumberFormat="1" applyFont="1" applyBorder="1"/>
    <xf numFmtId="164" fontId="2" fillId="0" borderId="7" xfId="0" applyNumberFormat="1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0" fontId="2" fillId="0" borderId="8" xfId="0" applyFont="1" applyBorder="1"/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6" xfId="0" applyFont="1" applyFill="1" applyBorder="1"/>
    <xf numFmtId="166" fontId="7" fillId="0" borderId="18" xfId="1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shrinkToFit="1"/>
    </xf>
    <xf numFmtId="0" fontId="7" fillId="5" borderId="29" xfId="0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/>
    </xf>
    <xf numFmtId="166" fontId="3" fillId="0" borderId="25" xfId="1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3" fillId="0" borderId="31" xfId="1" applyFont="1" applyBorder="1" applyAlignment="1">
      <alignment horizontal="center" vertical="center"/>
    </xf>
    <xf numFmtId="43" fontId="3" fillId="0" borderId="18" xfId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6" fontId="3" fillId="0" borderId="26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66" fontId="3" fillId="0" borderId="10" xfId="1" applyNumberFormat="1" applyFont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166" fontId="3" fillId="0" borderId="18" xfId="1" applyNumberFormat="1" applyFont="1" applyBorder="1" applyAlignment="1">
      <alignment horizontal="center" vertical="center"/>
    </xf>
    <xf numFmtId="166" fontId="3" fillId="0" borderId="19" xfId="1" applyNumberFormat="1" applyFont="1" applyBorder="1" applyAlignment="1">
      <alignment horizontal="center" vertical="center"/>
    </xf>
    <xf numFmtId="166" fontId="3" fillId="0" borderId="0" xfId="1" applyNumberFormat="1" applyFont="1" applyBorder="1" applyAlignment="1">
      <alignment horizontal="center" vertical="center"/>
    </xf>
    <xf numFmtId="166" fontId="3" fillId="0" borderId="33" xfId="1" applyNumberFormat="1" applyFont="1" applyBorder="1" applyAlignment="1">
      <alignment horizontal="center" vertical="center"/>
    </xf>
    <xf numFmtId="166" fontId="3" fillId="5" borderId="2" xfId="1" applyNumberFormat="1" applyFont="1" applyFill="1" applyBorder="1" applyAlignment="1">
      <alignment horizontal="center" vertical="center"/>
    </xf>
    <xf numFmtId="166" fontId="3" fillId="5" borderId="21" xfId="1" applyNumberFormat="1" applyFont="1" applyFill="1" applyBorder="1" applyAlignment="1">
      <alignment horizontal="center" vertical="center"/>
    </xf>
    <xf numFmtId="166" fontId="3" fillId="5" borderId="23" xfId="1" applyNumberFormat="1" applyFont="1" applyFill="1" applyBorder="1" applyAlignment="1">
      <alignment horizontal="center" vertical="center"/>
    </xf>
    <xf numFmtId="166" fontId="3" fillId="2" borderId="31" xfId="1" applyNumberFormat="1" applyFont="1" applyFill="1" applyBorder="1" applyAlignment="1">
      <alignment horizontal="center" vertical="center"/>
    </xf>
    <xf numFmtId="166" fontId="3" fillId="2" borderId="18" xfId="1" applyNumberFormat="1" applyFont="1" applyFill="1" applyBorder="1" applyAlignment="1">
      <alignment horizontal="center" vertical="center"/>
    </xf>
    <xf numFmtId="3" fontId="3" fillId="0" borderId="27" xfId="0" applyNumberFormat="1" applyFont="1" applyBorder="1" applyAlignment="1">
      <alignment horizontal="right" vertical="center"/>
    </xf>
    <xf numFmtId="0" fontId="12" fillId="0" borderId="0" xfId="0" applyFont="1"/>
    <xf numFmtId="4" fontId="3" fillId="0" borderId="15" xfId="0" applyNumberFormat="1" applyFont="1" applyBorder="1" applyAlignment="1">
      <alignment horizontal="center" vertical="center"/>
    </xf>
    <xf numFmtId="166" fontId="3" fillId="0" borderId="40" xfId="1" applyNumberFormat="1" applyFont="1" applyBorder="1" applyAlignment="1">
      <alignment horizontal="center" vertical="center"/>
    </xf>
    <xf numFmtId="166" fontId="3" fillId="0" borderId="15" xfId="1" applyNumberFormat="1" applyFont="1" applyBorder="1" applyAlignment="1">
      <alignment horizontal="center" vertical="center"/>
    </xf>
    <xf numFmtId="166" fontId="3" fillId="0" borderId="41" xfId="1" applyNumberFormat="1" applyFont="1" applyBorder="1" applyAlignment="1">
      <alignment horizontal="center" vertical="center"/>
    </xf>
    <xf numFmtId="166" fontId="3" fillId="0" borderId="42" xfId="1" applyNumberFormat="1" applyFont="1" applyBorder="1" applyAlignment="1">
      <alignment horizontal="center" vertical="center"/>
    </xf>
    <xf numFmtId="166" fontId="3" fillId="0" borderId="28" xfId="1" applyNumberFormat="1" applyFont="1" applyBorder="1" applyAlignment="1">
      <alignment horizontal="center" vertical="center"/>
    </xf>
    <xf numFmtId="166" fontId="3" fillId="2" borderId="28" xfId="1" applyNumberFormat="1" applyFont="1" applyFill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43" xfId="1" applyNumberFormat="1" applyFont="1" applyBorder="1" applyAlignment="1">
      <alignment horizontal="center" vertical="center"/>
    </xf>
    <xf numFmtId="166" fontId="3" fillId="0" borderId="44" xfId="1" applyNumberFormat="1" applyFont="1" applyBorder="1" applyAlignment="1">
      <alignment horizontal="center" vertical="center"/>
    </xf>
    <xf numFmtId="166" fontId="3" fillId="0" borderId="45" xfId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18" xfId="0" applyNumberFormat="1" applyFont="1" applyBorder="1" applyAlignment="1">
      <alignment horizontal="right" vertical="center"/>
    </xf>
    <xf numFmtId="3" fontId="3" fillId="0" borderId="15" xfId="0" applyNumberFormat="1" applyFont="1" applyBorder="1" applyAlignment="1">
      <alignment horizontal="center" vertical="center"/>
    </xf>
    <xf numFmtId="4" fontId="3" fillId="2" borderId="15" xfId="0" applyNumberFormat="1" applyFont="1" applyFill="1" applyBorder="1" applyAlignment="1">
      <alignment horizontal="center" vertical="center"/>
    </xf>
    <xf numFmtId="4" fontId="3" fillId="2" borderId="46" xfId="0" applyNumberFormat="1" applyFont="1" applyFill="1" applyBorder="1" applyAlignment="1">
      <alignment horizontal="center" vertical="center"/>
    </xf>
    <xf numFmtId="4" fontId="3" fillId="2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166" fontId="3" fillId="0" borderId="3" xfId="1" applyNumberFormat="1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7" fillId="5" borderId="29" xfId="0" applyFont="1" applyFill="1" applyBorder="1" applyAlignment="1">
      <alignment horizontal="center" vertical="center" wrapText="1" shrinkToFit="1"/>
    </xf>
    <xf numFmtId="0" fontId="7" fillId="5" borderId="2" xfId="0" applyFont="1" applyFill="1" applyBorder="1" applyAlignment="1">
      <alignment horizontal="center" vertical="center" wrapText="1" shrinkToFit="1"/>
    </xf>
    <xf numFmtId="0" fontId="14" fillId="0" borderId="0" xfId="0" applyFont="1"/>
    <xf numFmtId="0" fontId="0" fillId="0" borderId="0" xfId="0" applyAlignment="1">
      <alignment horizontal="left"/>
    </xf>
    <xf numFmtId="4" fontId="3" fillId="0" borderId="0" xfId="0" applyNumberFormat="1" applyFont="1" applyAlignment="1">
      <alignment vertical="center"/>
    </xf>
    <xf numFmtId="0" fontId="15" fillId="0" borderId="0" xfId="0" applyFont="1"/>
    <xf numFmtId="0" fontId="10" fillId="0" borderId="0" xfId="0" applyFont="1"/>
    <xf numFmtId="0" fontId="7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4" xfId="0" applyFont="1" applyBorder="1"/>
    <xf numFmtId="0" fontId="3" fillId="0" borderId="27" xfId="0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0" fontId="3" fillId="0" borderId="0" xfId="0" applyFont="1"/>
    <xf numFmtId="0" fontId="5" fillId="0" borderId="9" xfId="0" applyFont="1" applyBorder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5" fillId="0" borderId="17" xfId="0" applyFont="1" applyBorder="1"/>
    <xf numFmtId="0" fontId="5" fillId="0" borderId="36" xfId="0" applyFont="1" applyBorder="1"/>
    <xf numFmtId="0" fontId="3" fillId="0" borderId="18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5" fillId="0" borderId="34" xfId="0" applyFont="1" applyBorder="1"/>
    <xf numFmtId="1" fontId="3" fillId="0" borderId="26" xfId="0" applyNumberFormat="1" applyFont="1" applyBorder="1" applyAlignment="1">
      <alignment horizontal="center" vertical="center"/>
    </xf>
    <xf numFmtId="0" fontId="5" fillId="0" borderId="30" xfId="0" applyFont="1" applyBorder="1"/>
    <xf numFmtId="0" fontId="5" fillId="0" borderId="31" xfId="0" applyFont="1" applyBorder="1"/>
    <xf numFmtId="1" fontId="3" fillId="0" borderId="31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0" fontId="5" fillId="0" borderId="18" xfId="0" applyFont="1" applyBorder="1"/>
    <xf numFmtId="0" fontId="3" fillId="0" borderId="19" xfId="0" applyFont="1" applyBorder="1"/>
    <xf numFmtId="0" fontId="5" fillId="0" borderId="7" xfId="0" applyFont="1" applyBorder="1"/>
    <xf numFmtId="0" fontId="5" fillId="0" borderId="35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/>
    <xf numFmtId="0" fontId="3" fillId="0" borderId="41" xfId="0" applyFont="1" applyBorder="1" applyAlignment="1">
      <alignment horizontal="center" vertical="center"/>
    </xf>
    <xf numFmtId="0" fontId="3" fillId="0" borderId="13" xfId="0" applyFont="1" applyBorder="1"/>
    <xf numFmtId="167" fontId="3" fillId="0" borderId="1" xfId="0" applyNumberFormat="1" applyFont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5" borderId="0" xfId="0" applyFont="1" applyFill="1" applyAlignment="1">
      <alignment horizontal="center" vertical="center"/>
    </xf>
    <xf numFmtId="4" fontId="3" fillId="0" borderId="46" xfId="0" applyNumberFormat="1" applyFont="1" applyBorder="1" applyAlignment="1">
      <alignment horizontal="center" vertical="center"/>
    </xf>
    <xf numFmtId="4" fontId="3" fillId="0" borderId="47" xfId="0" applyNumberFormat="1" applyFont="1" applyBorder="1" applyAlignment="1">
      <alignment horizontal="center" vertical="center"/>
    </xf>
    <xf numFmtId="41" fontId="3" fillId="0" borderId="1" xfId="1" applyNumberFormat="1" applyFont="1" applyBorder="1" applyAlignment="1">
      <alignment horizontal="center" vertical="center"/>
    </xf>
    <xf numFmtId="41" fontId="3" fillId="2" borderId="1" xfId="1" applyNumberFormat="1" applyFont="1" applyFill="1" applyBorder="1" applyAlignment="1">
      <alignment horizontal="center" vertical="center"/>
    </xf>
    <xf numFmtId="41" fontId="3" fillId="0" borderId="31" xfId="1" applyNumberFormat="1" applyFont="1" applyBorder="1" applyAlignment="1">
      <alignment horizontal="center" vertical="center"/>
    </xf>
    <xf numFmtId="166" fontId="3" fillId="0" borderId="31" xfId="1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164" fontId="5" fillId="5" borderId="20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4" fontId="3" fillId="0" borderId="46" xfId="0" applyNumberFormat="1" applyFont="1" applyBorder="1" applyAlignment="1">
      <alignment horizontal="center" vertical="center"/>
    </xf>
    <xf numFmtId="4" fontId="3" fillId="0" borderId="47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16" fillId="0" borderId="40" xfId="0" applyNumberFormat="1" applyFont="1" applyBorder="1" applyAlignment="1">
      <alignment horizontal="center" vertical="center"/>
    </xf>
    <xf numFmtId="4" fontId="16" fillId="0" borderId="53" xfId="0" applyNumberFormat="1" applyFont="1" applyBorder="1" applyAlignment="1">
      <alignment horizontal="center" vertical="center"/>
    </xf>
    <xf numFmtId="4" fontId="16" fillId="0" borderId="4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" fontId="17" fillId="0" borderId="48" xfId="0" applyNumberFormat="1" applyFont="1" applyBorder="1" applyAlignment="1">
      <alignment horizontal="center" vertical="center"/>
    </xf>
    <xf numFmtId="4" fontId="17" fillId="0" borderId="29" xfId="0" applyNumberFormat="1" applyFont="1" applyBorder="1" applyAlignment="1">
      <alignment horizontal="center" vertical="center"/>
    </xf>
    <xf numFmtId="4" fontId="17" fillId="0" borderId="49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/>
    </xf>
    <xf numFmtId="41" fontId="3" fillId="0" borderId="3" xfId="1" applyNumberFormat="1" applyFont="1" applyBorder="1" applyAlignment="1">
      <alignment horizontal="center" vertical="center"/>
    </xf>
    <xf numFmtId="4" fontId="3" fillId="2" borderId="16" xfId="0" applyNumberFormat="1" applyFont="1" applyFill="1" applyBorder="1" applyAlignment="1">
      <alignment horizontal="center" vertical="center"/>
    </xf>
    <xf numFmtId="166" fontId="3" fillId="0" borderId="16" xfId="1" applyNumberFormat="1" applyFont="1" applyBorder="1" applyAlignment="1">
      <alignment horizontal="center" vertical="center"/>
    </xf>
    <xf numFmtId="166" fontId="3" fillId="0" borderId="5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shrinkToFit="1"/>
    </xf>
    <xf numFmtId="0" fontId="0" fillId="2" borderId="1" xfId="0" applyFill="1" applyBorder="1"/>
    <xf numFmtId="4" fontId="3" fillId="0" borderId="55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18" fillId="5" borderId="1" xfId="0" applyFont="1" applyFill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94"/>
  <sheetViews>
    <sheetView topLeftCell="A4" workbookViewId="0">
      <selection activeCell="D4" sqref="D4"/>
    </sheetView>
  </sheetViews>
  <sheetFormatPr defaultRowHeight="14.4" x14ac:dyDescent="0.3"/>
  <cols>
    <col min="2" max="2" width="16.5546875" customWidth="1"/>
    <col min="3" max="4" width="13" customWidth="1"/>
    <col min="5" max="5" width="16.5546875" customWidth="1"/>
    <col min="6" max="6" width="17" customWidth="1"/>
    <col min="7" max="7" width="19.109375" customWidth="1"/>
    <col min="8" max="11" width="15.44140625" customWidth="1"/>
    <col min="12" max="13" width="15.6640625" customWidth="1"/>
    <col min="14" max="14" width="15.44140625" customWidth="1"/>
    <col min="15" max="15" width="18.5546875" customWidth="1"/>
    <col min="16" max="16" width="19.109375" customWidth="1"/>
    <col min="17" max="17" width="18.33203125" customWidth="1"/>
    <col min="18" max="19" width="15.6640625" customWidth="1"/>
    <col min="20" max="20" width="19.6640625" customWidth="1"/>
  </cols>
  <sheetData>
    <row r="1" spans="2:20" ht="30" customHeight="1" thickBot="1" x14ac:dyDescent="0.35"/>
    <row r="2" spans="2:20" ht="30" customHeight="1" thickBot="1" x14ac:dyDescent="0.35">
      <c r="P2" s="270" t="s">
        <v>14</v>
      </c>
      <c r="Q2" s="271"/>
      <c r="R2" s="271"/>
      <c r="S2" s="271"/>
      <c r="T2" s="272"/>
    </row>
    <row r="3" spans="2:20" ht="30" customHeight="1" thickBot="1" x14ac:dyDescent="0.35">
      <c r="B3" s="8" t="s">
        <v>0</v>
      </c>
      <c r="C3" s="8" t="s">
        <v>1</v>
      </c>
      <c r="D3" s="8" t="s">
        <v>2</v>
      </c>
      <c r="E3" s="8" t="s">
        <v>4</v>
      </c>
      <c r="F3" s="8" t="s">
        <v>7</v>
      </c>
      <c r="G3" s="8" t="s">
        <v>3</v>
      </c>
      <c r="H3" s="8" t="s">
        <v>8</v>
      </c>
      <c r="I3" s="8" t="s">
        <v>11</v>
      </c>
      <c r="J3" s="8" t="s">
        <v>9</v>
      </c>
      <c r="K3" s="19" t="s">
        <v>10</v>
      </c>
      <c r="L3" s="8" t="s">
        <v>5</v>
      </c>
      <c r="M3" s="8" t="s">
        <v>6</v>
      </c>
      <c r="N3" s="8" t="s">
        <v>13</v>
      </c>
      <c r="O3" s="20" t="s">
        <v>12</v>
      </c>
      <c r="P3" s="8" t="s">
        <v>4</v>
      </c>
      <c r="Q3" s="8" t="s">
        <v>12</v>
      </c>
      <c r="R3" s="8" t="s">
        <v>15</v>
      </c>
      <c r="S3" s="8"/>
      <c r="T3" s="9"/>
    </row>
    <row r="4" spans="2:20" ht="30" customHeight="1" x14ac:dyDescent="0.45">
      <c r="B4" s="14">
        <v>43044</v>
      </c>
      <c r="C4" s="15">
        <v>1</v>
      </c>
      <c r="D4" s="15">
        <v>1000</v>
      </c>
      <c r="E4" s="15">
        <v>47</v>
      </c>
      <c r="F4" s="15">
        <v>3</v>
      </c>
      <c r="G4" s="15">
        <f>D4*(E4+F4)</f>
        <v>50000</v>
      </c>
      <c r="H4" s="15">
        <v>266.66666666666669</v>
      </c>
      <c r="I4" s="15">
        <v>333.33333333333331</v>
      </c>
      <c r="J4" s="15">
        <v>700</v>
      </c>
      <c r="K4" s="15"/>
      <c r="L4" s="15">
        <v>233.33333333333334</v>
      </c>
      <c r="M4" s="15">
        <v>600</v>
      </c>
      <c r="N4" s="15">
        <v>1166</v>
      </c>
      <c r="O4" s="21">
        <f>G4+H4+I4+J4+L4+M4+N4</f>
        <v>53299.333333333336</v>
      </c>
      <c r="P4" s="22">
        <v>80</v>
      </c>
      <c r="Q4" s="15">
        <f>P4*D4</f>
        <v>80000</v>
      </c>
      <c r="R4" s="15">
        <f>Q4-O4</f>
        <v>26700.666666666664</v>
      </c>
      <c r="S4" s="15"/>
      <c r="T4" s="16"/>
    </row>
    <row r="5" spans="2:20" ht="30" customHeight="1" x14ac:dyDescent="0.45">
      <c r="B5" s="14">
        <v>43045</v>
      </c>
      <c r="C5" s="17"/>
      <c r="D5" s="15">
        <v>1000</v>
      </c>
      <c r="E5" s="15">
        <v>47</v>
      </c>
      <c r="F5" s="15">
        <v>3</v>
      </c>
      <c r="G5" s="15">
        <f t="shared" ref="G5:G10" si="0">D5*(E5+F5)</f>
        <v>50000</v>
      </c>
      <c r="H5" s="15">
        <v>266.66666666666669</v>
      </c>
      <c r="I5" s="15">
        <v>333.33333333333331</v>
      </c>
      <c r="J5" s="15">
        <v>700</v>
      </c>
      <c r="K5" s="17"/>
      <c r="L5" s="15">
        <v>233.33333333333334</v>
      </c>
      <c r="M5" s="15">
        <v>600</v>
      </c>
      <c r="N5" s="15">
        <v>1166</v>
      </c>
      <c r="O5" s="21">
        <f t="shared" ref="O5:O10" si="1">G5+H5+I5+J5+L5+M5+N5</f>
        <v>53299.333333333336</v>
      </c>
      <c r="P5" s="22">
        <v>80</v>
      </c>
      <c r="Q5" s="15">
        <f t="shared" ref="Q5:Q10" si="2">P5*D5</f>
        <v>80000</v>
      </c>
      <c r="R5" s="15">
        <f t="shared" ref="R5:R10" si="3">Q5-O5</f>
        <v>26700.666666666664</v>
      </c>
      <c r="S5" s="17"/>
      <c r="T5" s="18"/>
    </row>
    <row r="6" spans="2:20" ht="30" customHeight="1" x14ac:dyDescent="0.45">
      <c r="B6" s="14">
        <v>43046</v>
      </c>
      <c r="C6" s="17"/>
      <c r="D6" s="15">
        <v>1000</v>
      </c>
      <c r="E6" s="15">
        <v>47</v>
      </c>
      <c r="F6" s="15">
        <v>3</v>
      </c>
      <c r="G6" s="15">
        <f t="shared" si="0"/>
        <v>50000</v>
      </c>
      <c r="H6" s="15">
        <v>266.66666666666669</v>
      </c>
      <c r="I6" s="15">
        <v>333.33333333333331</v>
      </c>
      <c r="J6" s="15">
        <v>700</v>
      </c>
      <c r="K6" s="17"/>
      <c r="L6" s="15">
        <v>233.33333333333334</v>
      </c>
      <c r="M6" s="15">
        <v>600</v>
      </c>
      <c r="N6" s="15">
        <v>1166</v>
      </c>
      <c r="O6" s="21">
        <f t="shared" si="1"/>
        <v>53299.333333333336</v>
      </c>
      <c r="P6" s="22">
        <v>80</v>
      </c>
      <c r="Q6" s="15">
        <f t="shared" si="2"/>
        <v>80000</v>
      </c>
      <c r="R6" s="15">
        <f t="shared" si="3"/>
        <v>26700.666666666664</v>
      </c>
      <c r="S6" s="17"/>
      <c r="T6" s="18"/>
    </row>
    <row r="7" spans="2:20" ht="30" customHeight="1" x14ac:dyDescent="0.45">
      <c r="B7" s="14">
        <v>43047</v>
      </c>
      <c r="C7" s="17"/>
      <c r="D7" s="15">
        <v>1000</v>
      </c>
      <c r="E7" s="15">
        <v>47</v>
      </c>
      <c r="F7" s="15">
        <v>3</v>
      </c>
      <c r="G7" s="15">
        <f t="shared" si="0"/>
        <v>50000</v>
      </c>
      <c r="H7" s="15">
        <v>266.66666666666669</v>
      </c>
      <c r="I7" s="15">
        <v>333.33333333333331</v>
      </c>
      <c r="J7" s="15">
        <v>700</v>
      </c>
      <c r="K7" s="17"/>
      <c r="L7" s="15">
        <v>233.33333333333334</v>
      </c>
      <c r="M7" s="15">
        <v>600</v>
      </c>
      <c r="N7" s="15">
        <v>1166</v>
      </c>
      <c r="O7" s="21">
        <f t="shared" si="1"/>
        <v>53299.333333333336</v>
      </c>
      <c r="P7" s="22">
        <v>80</v>
      </c>
      <c r="Q7" s="15">
        <f t="shared" si="2"/>
        <v>80000</v>
      </c>
      <c r="R7" s="15">
        <f t="shared" si="3"/>
        <v>26700.666666666664</v>
      </c>
      <c r="S7" s="17"/>
      <c r="T7" s="18"/>
    </row>
    <row r="8" spans="2:20" ht="30" customHeight="1" x14ac:dyDescent="0.45">
      <c r="B8" s="14">
        <v>43048</v>
      </c>
      <c r="C8" s="17"/>
      <c r="D8" s="15">
        <v>1000</v>
      </c>
      <c r="E8" s="15">
        <v>47</v>
      </c>
      <c r="F8" s="15">
        <v>3</v>
      </c>
      <c r="G8" s="15">
        <f t="shared" si="0"/>
        <v>50000</v>
      </c>
      <c r="H8" s="15">
        <v>266.66666666666669</v>
      </c>
      <c r="I8" s="15">
        <v>333.33333333333331</v>
      </c>
      <c r="J8" s="15">
        <v>700</v>
      </c>
      <c r="K8" s="17"/>
      <c r="L8" s="15">
        <v>233.33333333333334</v>
      </c>
      <c r="M8" s="15">
        <v>600</v>
      </c>
      <c r="N8" s="15">
        <v>1166</v>
      </c>
      <c r="O8" s="21">
        <f t="shared" si="1"/>
        <v>53299.333333333336</v>
      </c>
      <c r="P8" s="22">
        <v>80</v>
      </c>
      <c r="Q8" s="15">
        <f t="shared" si="2"/>
        <v>80000</v>
      </c>
      <c r="R8" s="15">
        <f t="shared" si="3"/>
        <v>26700.666666666664</v>
      </c>
      <c r="S8" s="17"/>
      <c r="T8" s="18"/>
    </row>
    <row r="9" spans="2:20" ht="30" customHeight="1" x14ac:dyDescent="0.45">
      <c r="B9" s="14">
        <v>43049</v>
      </c>
      <c r="C9" s="17"/>
      <c r="D9" s="15">
        <v>1000</v>
      </c>
      <c r="E9" s="15">
        <v>47</v>
      </c>
      <c r="F9" s="15">
        <v>3</v>
      </c>
      <c r="G9" s="15">
        <f t="shared" si="0"/>
        <v>50000</v>
      </c>
      <c r="H9" s="15">
        <v>266.66666666666669</v>
      </c>
      <c r="I9" s="15">
        <v>333.33333333333331</v>
      </c>
      <c r="J9" s="15">
        <v>700</v>
      </c>
      <c r="K9" s="17"/>
      <c r="L9" s="15">
        <v>233.33333333333334</v>
      </c>
      <c r="M9" s="15">
        <v>600</v>
      </c>
      <c r="N9" s="15">
        <v>1166</v>
      </c>
      <c r="O9" s="21">
        <f t="shared" si="1"/>
        <v>53299.333333333336</v>
      </c>
      <c r="P9" s="22">
        <v>80</v>
      </c>
      <c r="Q9" s="15">
        <f t="shared" si="2"/>
        <v>80000</v>
      </c>
      <c r="R9" s="15">
        <f t="shared" si="3"/>
        <v>26700.666666666664</v>
      </c>
      <c r="S9" s="17"/>
      <c r="T9" s="18"/>
    </row>
    <row r="10" spans="2:20" ht="30" customHeight="1" x14ac:dyDescent="0.45">
      <c r="B10" s="14">
        <v>43050</v>
      </c>
      <c r="C10" s="17"/>
      <c r="D10" s="15">
        <v>1000</v>
      </c>
      <c r="E10" s="15">
        <v>47</v>
      </c>
      <c r="F10" s="15">
        <v>3</v>
      </c>
      <c r="G10" s="15">
        <f t="shared" si="0"/>
        <v>50000</v>
      </c>
      <c r="H10" s="15">
        <v>266.66666666666669</v>
      </c>
      <c r="I10" s="15">
        <v>333.33333333333331</v>
      </c>
      <c r="J10" s="15">
        <v>700</v>
      </c>
      <c r="K10" s="17"/>
      <c r="L10" s="15">
        <v>233.33333333333334</v>
      </c>
      <c r="M10" s="15">
        <v>600</v>
      </c>
      <c r="N10" s="15">
        <v>1166</v>
      </c>
      <c r="O10" s="21">
        <f t="shared" si="1"/>
        <v>53299.333333333336</v>
      </c>
      <c r="P10" s="22">
        <v>80</v>
      </c>
      <c r="Q10" s="15">
        <f t="shared" si="2"/>
        <v>80000</v>
      </c>
      <c r="R10" s="15">
        <f t="shared" si="3"/>
        <v>26700.666666666664</v>
      </c>
      <c r="S10" s="17"/>
      <c r="T10" s="18"/>
    </row>
    <row r="11" spans="2:20" ht="30" customHeight="1" x14ac:dyDescent="0.45">
      <c r="B11" s="14">
        <v>43051</v>
      </c>
      <c r="C11" s="17"/>
      <c r="D11" s="15">
        <v>1000</v>
      </c>
      <c r="E11" s="15">
        <v>47</v>
      </c>
      <c r="F11" s="15">
        <v>3</v>
      </c>
      <c r="G11" s="15">
        <f>D11*(E11+F11)</f>
        <v>50000</v>
      </c>
      <c r="H11" s="15">
        <v>266.66666666666669</v>
      </c>
      <c r="I11" s="15">
        <v>333.33333333333331</v>
      </c>
      <c r="J11" s="15">
        <v>700</v>
      </c>
      <c r="K11" s="17"/>
      <c r="L11" s="17">
        <v>233.33</v>
      </c>
      <c r="M11" s="17">
        <v>600</v>
      </c>
      <c r="N11" s="17">
        <v>1166</v>
      </c>
      <c r="O11" s="17"/>
      <c r="P11" s="15"/>
      <c r="Q11" s="15"/>
      <c r="R11" s="15"/>
      <c r="S11" s="15"/>
      <c r="T11" s="16"/>
    </row>
    <row r="12" spans="2:20" ht="30" customHeight="1" x14ac:dyDescent="0.45">
      <c r="B12" s="14">
        <v>43052</v>
      </c>
      <c r="C12" s="17"/>
      <c r="D12" s="15">
        <v>1000</v>
      </c>
      <c r="E12" s="15">
        <v>47</v>
      </c>
      <c r="F12" s="15">
        <v>3</v>
      </c>
      <c r="G12" s="15">
        <f t="shared" ref="G12:G35" si="4">D12*(E12+F12)</f>
        <v>50000</v>
      </c>
      <c r="H12" s="15">
        <v>266.66666666666669</v>
      </c>
      <c r="I12" s="15">
        <v>333.33333333333331</v>
      </c>
      <c r="J12" s="15">
        <v>700</v>
      </c>
      <c r="K12" s="17"/>
      <c r="L12" s="17">
        <v>233.33</v>
      </c>
      <c r="M12" s="17">
        <v>600</v>
      </c>
      <c r="N12" s="17">
        <v>1166</v>
      </c>
      <c r="O12" s="17" t="e">
        <f>#REF!*5.2</f>
        <v>#REF!</v>
      </c>
      <c r="P12" s="17"/>
      <c r="Q12" s="17"/>
      <c r="R12" s="17"/>
      <c r="S12" s="17"/>
      <c r="T12" s="18"/>
    </row>
    <row r="13" spans="2:20" s="26" customFormat="1" ht="30" customHeight="1" x14ac:dyDescent="0.45">
      <c r="B13" s="14">
        <v>43053</v>
      </c>
      <c r="C13" s="23"/>
      <c r="D13" s="15">
        <v>1000</v>
      </c>
      <c r="E13" s="24">
        <v>47</v>
      </c>
      <c r="F13" s="24">
        <v>3</v>
      </c>
      <c r="G13" s="24">
        <f t="shared" si="4"/>
        <v>50000</v>
      </c>
      <c r="H13" s="24">
        <v>266.66666666666669</v>
      </c>
      <c r="I13" s="24">
        <v>333.33333333333331</v>
      </c>
      <c r="J13" s="24">
        <v>700</v>
      </c>
      <c r="K13" s="23"/>
      <c r="L13" s="17">
        <v>233.33</v>
      </c>
      <c r="M13" s="17">
        <v>600</v>
      </c>
      <c r="N13" s="17">
        <v>1166</v>
      </c>
      <c r="O13" s="23"/>
      <c r="P13" s="23"/>
      <c r="Q13" s="23"/>
      <c r="R13" s="23"/>
      <c r="S13" s="23"/>
      <c r="T13" s="25"/>
    </row>
    <row r="14" spans="2:20" ht="30" customHeight="1" x14ac:dyDescent="0.45">
      <c r="B14" s="14">
        <v>43054</v>
      </c>
      <c r="C14" s="17"/>
      <c r="D14" s="15">
        <v>1000</v>
      </c>
      <c r="E14" s="24">
        <v>47</v>
      </c>
      <c r="F14" s="24">
        <v>3</v>
      </c>
      <c r="G14" s="15">
        <f t="shared" si="4"/>
        <v>50000</v>
      </c>
      <c r="H14" s="24">
        <v>266.66666666666669</v>
      </c>
      <c r="I14" s="24">
        <v>333.33333333333331</v>
      </c>
      <c r="J14" s="24">
        <v>700</v>
      </c>
      <c r="K14" s="17"/>
      <c r="L14" s="17">
        <v>233.33</v>
      </c>
      <c r="M14" s="17">
        <v>600</v>
      </c>
      <c r="N14" s="17">
        <v>1166</v>
      </c>
      <c r="O14" s="17"/>
      <c r="P14" s="17"/>
      <c r="Q14" s="17"/>
      <c r="R14" s="17"/>
      <c r="S14" s="17"/>
      <c r="T14" s="18"/>
    </row>
    <row r="15" spans="2:20" ht="30" customHeight="1" x14ac:dyDescent="0.45">
      <c r="B15" s="14">
        <v>43055</v>
      </c>
      <c r="C15" s="17"/>
      <c r="D15" s="15">
        <v>1000</v>
      </c>
      <c r="E15" s="24">
        <v>47</v>
      </c>
      <c r="F15" s="24">
        <v>3</v>
      </c>
      <c r="G15" s="15">
        <f t="shared" si="4"/>
        <v>50000</v>
      </c>
      <c r="H15" s="24">
        <v>266.66666666666669</v>
      </c>
      <c r="I15" s="24">
        <v>333.33333333333331</v>
      </c>
      <c r="J15" s="24">
        <v>700</v>
      </c>
      <c r="K15" s="17"/>
      <c r="L15" s="17">
        <v>233.33</v>
      </c>
      <c r="M15" s="17">
        <v>600</v>
      </c>
      <c r="N15" s="17">
        <v>1166</v>
      </c>
      <c r="O15" s="17"/>
      <c r="P15" s="17"/>
      <c r="Q15" s="17"/>
      <c r="R15" s="17"/>
      <c r="S15" s="17"/>
      <c r="T15" s="18"/>
    </row>
    <row r="16" spans="2:20" ht="30" customHeight="1" x14ac:dyDescent="0.45">
      <c r="B16" s="14">
        <v>43056</v>
      </c>
      <c r="C16" s="17"/>
      <c r="D16" s="15">
        <v>1000</v>
      </c>
      <c r="E16" s="24">
        <v>47</v>
      </c>
      <c r="F16" s="24">
        <v>3</v>
      </c>
      <c r="G16" s="15">
        <f t="shared" si="4"/>
        <v>50000</v>
      </c>
      <c r="H16" s="24">
        <v>266.66666666666669</v>
      </c>
      <c r="I16" s="24">
        <v>333.33333333333331</v>
      </c>
      <c r="J16" s="24">
        <v>700</v>
      </c>
      <c r="K16" s="17"/>
      <c r="L16" s="17">
        <v>233.33</v>
      </c>
      <c r="M16" s="17">
        <v>600</v>
      </c>
      <c r="N16" s="17">
        <v>1166</v>
      </c>
      <c r="O16" s="17"/>
      <c r="P16" s="17"/>
      <c r="Q16" s="17"/>
      <c r="R16" s="17"/>
      <c r="S16" s="17"/>
      <c r="T16" s="18"/>
    </row>
    <row r="17" spans="2:20" ht="30" customHeight="1" x14ac:dyDescent="0.45">
      <c r="B17" s="14">
        <v>43057</v>
      </c>
      <c r="C17" s="17"/>
      <c r="D17" s="15">
        <v>1000</v>
      </c>
      <c r="E17" s="24">
        <v>47</v>
      </c>
      <c r="F17" s="24">
        <v>3</v>
      </c>
      <c r="G17" s="15">
        <f t="shared" si="4"/>
        <v>50000</v>
      </c>
      <c r="H17" s="17"/>
      <c r="I17" s="17"/>
      <c r="J17" s="17"/>
      <c r="K17" s="17"/>
      <c r="L17" s="17">
        <v>233.33</v>
      </c>
      <c r="M17" s="17">
        <v>600</v>
      </c>
      <c r="N17" s="17">
        <v>1166</v>
      </c>
      <c r="O17" s="17"/>
      <c r="P17" s="17"/>
      <c r="Q17" s="17"/>
      <c r="R17" s="17"/>
      <c r="S17" s="17"/>
      <c r="T17" s="18"/>
    </row>
    <row r="18" spans="2:20" ht="30" customHeight="1" x14ac:dyDescent="0.45">
      <c r="B18" s="14">
        <v>43058</v>
      </c>
      <c r="C18" s="17"/>
      <c r="D18" s="15">
        <v>1000</v>
      </c>
      <c r="E18" s="24">
        <v>47</v>
      </c>
      <c r="F18" s="24">
        <v>3</v>
      </c>
      <c r="G18" s="15">
        <f t="shared" si="4"/>
        <v>50000</v>
      </c>
      <c r="H18" s="17"/>
      <c r="I18" s="17"/>
      <c r="J18" s="17"/>
      <c r="K18" s="17"/>
      <c r="L18" s="17">
        <v>233.33</v>
      </c>
      <c r="M18" s="17">
        <v>600</v>
      </c>
      <c r="N18" s="17">
        <v>1166</v>
      </c>
      <c r="O18" s="17"/>
      <c r="P18" s="17"/>
      <c r="Q18" s="17"/>
      <c r="R18" s="17"/>
      <c r="S18" s="17"/>
      <c r="T18" s="18"/>
    </row>
    <row r="19" spans="2:20" ht="30" customHeight="1" x14ac:dyDescent="0.45">
      <c r="B19" s="14">
        <v>43059</v>
      </c>
      <c r="C19" s="17"/>
      <c r="D19" s="15">
        <v>1000</v>
      </c>
      <c r="E19" s="24">
        <v>47</v>
      </c>
      <c r="F19" s="24">
        <v>3</v>
      </c>
      <c r="G19" s="15">
        <f t="shared" si="4"/>
        <v>50000</v>
      </c>
      <c r="H19" s="17"/>
      <c r="I19" s="17"/>
      <c r="J19" s="17"/>
      <c r="K19" s="17"/>
      <c r="L19" s="17">
        <v>233.33</v>
      </c>
      <c r="M19" s="17">
        <v>600</v>
      </c>
      <c r="N19" s="17">
        <v>1166</v>
      </c>
      <c r="O19" s="17"/>
      <c r="P19" s="17"/>
      <c r="Q19" s="17"/>
      <c r="R19" s="17"/>
      <c r="S19" s="17"/>
      <c r="T19" s="18"/>
    </row>
    <row r="20" spans="2:20" ht="30" customHeight="1" x14ac:dyDescent="0.45">
      <c r="B20" s="14">
        <v>43060</v>
      </c>
      <c r="C20" s="17"/>
      <c r="D20" s="15">
        <v>1000</v>
      </c>
      <c r="E20" s="24">
        <v>47</v>
      </c>
      <c r="F20" s="24">
        <v>3</v>
      </c>
      <c r="G20" s="15">
        <f t="shared" si="4"/>
        <v>50000</v>
      </c>
      <c r="H20" s="17"/>
      <c r="I20" s="17"/>
      <c r="J20" s="17"/>
      <c r="K20" s="17"/>
      <c r="L20" s="17">
        <v>233.33</v>
      </c>
      <c r="M20" s="17">
        <v>600</v>
      </c>
      <c r="N20" s="17">
        <v>1166</v>
      </c>
      <c r="O20" s="17"/>
      <c r="P20" s="17"/>
      <c r="Q20" s="17"/>
      <c r="R20" s="17"/>
      <c r="S20" s="17"/>
      <c r="T20" s="18"/>
    </row>
    <row r="21" spans="2:20" ht="30" customHeight="1" x14ac:dyDescent="0.45">
      <c r="B21" s="14">
        <v>43061</v>
      </c>
      <c r="C21" s="17"/>
      <c r="D21" s="15">
        <v>1000</v>
      </c>
      <c r="E21" s="24">
        <v>47</v>
      </c>
      <c r="F21" s="24">
        <v>3</v>
      </c>
      <c r="G21" s="15">
        <f t="shared" si="4"/>
        <v>50000</v>
      </c>
      <c r="H21" s="17"/>
      <c r="I21" s="17"/>
      <c r="J21" s="17"/>
      <c r="K21" s="17"/>
      <c r="L21" s="17">
        <v>233.33</v>
      </c>
      <c r="M21" s="17">
        <v>600</v>
      </c>
      <c r="N21" s="17">
        <v>1166</v>
      </c>
      <c r="O21" s="17"/>
      <c r="P21" s="17"/>
      <c r="Q21" s="17"/>
      <c r="R21" s="17"/>
      <c r="S21" s="17"/>
      <c r="T21" s="18"/>
    </row>
    <row r="22" spans="2:20" ht="30" customHeight="1" x14ac:dyDescent="0.45">
      <c r="B22" s="14">
        <v>43062</v>
      </c>
      <c r="C22" s="17"/>
      <c r="D22" s="15">
        <v>1000</v>
      </c>
      <c r="E22" s="24">
        <v>47</v>
      </c>
      <c r="F22" s="24">
        <v>3</v>
      </c>
      <c r="G22" s="15">
        <f t="shared" si="4"/>
        <v>50000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</row>
    <row r="23" spans="2:20" s="26" customFormat="1" ht="30" customHeight="1" x14ac:dyDescent="0.45">
      <c r="B23" s="14">
        <v>43063</v>
      </c>
      <c r="C23" s="23"/>
      <c r="D23" s="15">
        <v>1000</v>
      </c>
      <c r="E23" s="24">
        <v>47</v>
      </c>
      <c r="F23" s="24">
        <v>3</v>
      </c>
      <c r="G23" s="24">
        <f t="shared" si="4"/>
        <v>50000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5"/>
    </row>
    <row r="24" spans="2:20" ht="30" customHeight="1" x14ac:dyDescent="0.45">
      <c r="B24" s="14">
        <v>43064</v>
      </c>
      <c r="C24" s="17"/>
      <c r="D24" s="15">
        <v>1000</v>
      </c>
      <c r="E24" s="24">
        <v>47</v>
      </c>
      <c r="F24" s="24">
        <v>3</v>
      </c>
      <c r="G24" s="15">
        <f t="shared" si="4"/>
        <v>50000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8"/>
    </row>
    <row r="25" spans="2:20" ht="30" customHeight="1" x14ac:dyDescent="0.45">
      <c r="B25" s="14">
        <v>43065</v>
      </c>
      <c r="C25" s="17"/>
      <c r="D25" s="15">
        <v>1000</v>
      </c>
      <c r="E25" s="24">
        <v>47</v>
      </c>
      <c r="F25" s="24">
        <v>3</v>
      </c>
      <c r="G25" s="15">
        <f t="shared" si="4"/>
        <v>50000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8"/>
    </row>
    <row r="26" spans="2:20" ht="30" customHeight="1" x14ac:dyDescent="0.45">
      <c r="B26" s="14">
        <v>43066</v>
      </c>
      <c r="C26" s="17"/>
      <c r="D26" s="15">
        <v>1000</v>
      </c>
      <c r="E26" s="24">
        <v>47</v>
      </c>
      <c r="F26" s="24">
        <v>3</v>
      </c>
      <c r="G26" s="15">
        <f t="shared" si="4"/>
        <v>50000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8"/>
    </row>
    <row r="27" spans="2:20" ht="30" customHeight="1" x14ac:dyDescent="0.45">
      <c r="B27" s="14">
        <v>43067</v>
      </c>
      <c r="C27" s="17"/>
      <c r="D27" s="15">
        <v>1000</v>
      </c>
      <c r="E27" s="24">
        <v>47</v>
      </c>
      <c r="F27" s="24">
        <v>3</v>
      </c>
      <c r="G27" s="15">
        <f t="shared" si="4"/>
        <v>50000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8"/>
    </row>
    <row r="28" spans="2:20" ht="30" customHeight="1" x14ac:dyDescent="0.45">
      <c r="B28" s="14">
        <v>43068</v>
      </c>
      <c r="C28" s="17"/>
      <c r="D28" s="15">
        <v>1000</v>
      </c>
      <c r="E28" s="24">
        <v>47</v>
      </c>
      <c r="F28" s="24">
        <v>3</v>
      </c>
      <c r="G28" s="15">
        <f t="shared" si="4"/>
        <v>50000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8"/>
    </row>
    <row r="29" spans="2:20" ht="30" customHeight="1" x14ac:dyDescent="0.45">
      <c r="B29" s="14">
        <v>43069</v>
      </c>
      <c r="C29" s="17"/>
      <c r="D29" s="15">
        <v>1000</v>
      </c>
      <c r="E29" s="24">
        <v>47</v>
      </c>
      <c r="F29" s="24">
        <v>3</v>
      </c>
      <c r="G29" s="15">
        <f t="shared" si="4"/>
        <v>50000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8"/>
    </row>
    <row r="30" spans="2:20" s="26" customFormat="1" ht="30" customHeight="1" x14ac:dyDescent="0.45">
      <c r="B30" s="14">
        <v>43070</v>
      </c>
      <c r="C30" s="23"/>
      <c r="D30" s="15">
        <v>1000</v>
      </c>
      <c r="E30" s="24">
        <v>47</v>
      </c>
      <c r="F30" s="24">
        <v>3</v>
      </c>
      <c r="G30" s="24">
        <f t="shared" si="4"/>
        <v>50000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5"/>
    </row>
    <row r="31" spans="2:20" ht="30" customHeight="1" x14ac:dyDescent="0.45">
      <c r="B31" s="14">
        <v>43071</v>
      </c>
      <c r="C31" s="17"/>
      <c r="D31" s="15">
        <v>1000</v>
      </c>
      <c r="E31" s="24">
        <v>47</v>
      </c>
      <c r="F31" s="24">
        <v>3</v>
      </c>
      <c r="G31" s="15">
        <f t="shared" si="4"/>
        <v>50000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8"/>
    </row>
    <row r="32" spans="2:20" ht="30" customHeight="1" x14ac:dyDescent="0.45">
      <c r="B32" s="14">
        <v>43072</v>
      </c>
      <c r="C32" s="17"/>
      <c r="D32" s="15">
        <v>1000</v>
      </c>
      <c r="E32" s="24">
        <v>47</v>
      </c>
      <c r="F32" s="24">
        <v>3</v>
      </c>
      <c r="G32" s="15">
        <f t="shared" si="4"/>
        <v>50000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</row>
    <row r="33" spans="2:20" ht="30" customHeight="1" x14ac:dyDescent="0.45">
      <c r="B33" s="14">
        <v>43073</v>
      </c>
      <c r="C33" s="17"/>
      <c r="D33" s="15">
        <v>1000</v>
      </c>
      <c r="E33" s="24">
        <v>47</v>
      </c>
      <c r="F33" s="24">
        <v>3</v>
      </c>
      <c r="G33" s="15">
        <f t="shared" si="4"/>
        <v>50000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8"/>
    </row>
    <row r="34" spans="2:20" ht="30" customHeight="1" x14ac:dyDescent="0.45">
      <c r="B34" s="14">
        <v>43074</v>
      </c>
      <c r="C34" s="17"/>
      <c r="D34" s="15">
        <v>1000</v>
      </c>
      <c r="E34" s="24">
        <v>47</v>
      </c>
      <c r="F34" s="24">
        <v>3</v>
      </c>
      <c r="G34" s="15">
        <f t="shared" si="4"/>
        <v>50000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8"/>
    </row>
    <row r="35" spans="2:20" ht="30" customHeight="1" x14ac:dyDescent="0.45">
      <c r="B35" s="14">
        <v>43075</v>
      </c>
      <c r="C35" s="17"/>
      <c r="D35" s="17"/>
      <c r="E35" s="17"/>
      <c r="F35" s="17"/>
      <c r="G35" s="15">
        <f t="shared" si="4"/>
        <v>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8"/>
    </row>
    <row r="36" spans="2:20" ht="30" customHeight="1" x14ac:dyDescent="0.45">
      <c r="B36" s="14">
        <v>43076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8"/>
    </row>
    <row r="37" spans="2:20" s="26" customFormat="1" ht="30" customHeight="1" x14ac:dyDescent="0.45">
      <c r="B37" s="14">
        <v>43077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5"/>
    </row>
    <row r="38" spans="2:20" ht="30" customHeight="1" x14ac:dyDescent="0.45">
      <c r="B38" s="14">
        <v>43078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8"/>
    </row>
    <row r="39" spans="2:20" ht="30" customHeight="1" x14ac:dyDescent="0.45">
      <c r="B39" s="14">
        <v>43079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8"/>
    </row>
    <row r="40" spans="2:20" ht="30" customHeight="1" x14ac:dyDescent="0.45">
      <c r="B40" s="14">
        <v>43080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8"/>
    </row>
    <row r="41" spans="2:20" ht="30" customHeight="1" x14ac:dyDescent="0.45">
      <c r="B41" s="14">
        <v>43081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8"/>
    </row>
    <row r="42" spans="2:20" ht="30" customHeight="1" x14ac:dyDescent="0.45">
      <c r="B42" s="14">
        <v>43082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8"/>
    </row>
    <row r="43" spans="2:20" ht="30" customHeight="1" x14ac:dyDescent="0.45">
      <c r="B43" s="14">
        <v>43083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8"/>
    </row>
    <row r="44" spans="2:20" ht="30" customHeight="1" x14ac:dyDescent="0.45">
      <c r="B44" s="14">
        <v>43084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8"/>
    </row>
    <row r="45" spans="2:20" ht="30" customHeight="1" x14ac:dyDescent="0.45">
      <c r="B45" s="14">
        <v>43085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3"/>
    </row>
    <row r="46" spans="2:20" ht="30" customHeight="1" x14ac:dyDescent="0.45">
      <c r="B46" s="14">
        <v>43086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3"/>
    </row>
    <row r="47" spans="2:20" ht="30" customHeight="1" x14ac:dyDescent="0.4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3"/>
    </row>
    <row r="48" spans="2:20" ht="30" customHeight="1" x14ac:dyDescent="0.4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3"/>
    </row>
    <row r="49" spans="2:20" ht="30" customHeight="1" x14ac:dyDescent="0.4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3"/>
    </row>
    <row r="50" spans="2:20" ht="30" customHeight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</row>
    <row r="51" spans="2:20" ht="30" customHeight="1" x14ac:dyDescent="0.4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3"/>
    </row>
    <row r="52" spans="2:20" ht="30" customHeight="1" x14ac:dyDescent="0.4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3"/>
    </row>
    <row r="53" spans="2:20" ht="30" customHeight="1" x14ac:dyDescent="0.4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3"/>
    </row>
    <row r="54" spans="2:20" ht="30" customHeight="1" x14ac:dyDescent="0.4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3"/>
    </row>
    <row r="55" spans="2:20" ht="30" customHeight="1" x14ac:dyDescent="0.4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/>
    </row>
    <row r="56" spans="2:20" ht="30" customHeight="1" x14ac:dyDescent="0.4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/>
    </row>
    <row r="57" spans="2:20" ht="30" customHeight="1" x14ac:dyDescent="0.4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</row>
    <row r="58" spans="2:20" ht="30" customHeight="1" x14ac:dyDescent="0.4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/>
    </row>
    <row r="59" spans="2:20" ht="30" customHeight="1" x14ac:dyDescent="0.4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</row>
    <row r="60" spans="2:20" ht="30" customHeight="1" x14ac:dyDescent="0.4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/>
    </row>
    <row r="61" spans="2:20" ht="30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</row>
    <row r="62" spans="2:20" ht="30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</row>
    <row r="63" spans="2:20" ht="30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</row>
    <row r="64" spans="2:20" ht="30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</row>
    <row r="65" spans="2:20" ht="30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</row>
    <row r="66" spans="2:20" ht="30" customHeight="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</row>
    <row r="67" spans="2:20" ht="30" customHeigh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</row>
    <row r="68" spans="2:20" ht="30" customHeigh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</row>
    <row r="69" spans="2:20" ht="30" customHeigh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</row>
    <row r="70" spans="2:20" ht="30" customHeight="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</row>
    <row r="71" spans="2:20" ht="30" customHeigh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</row>
    <row r="72" spans="2:20" ht="30" customHeight="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</row>
    <row r="73" spans="2:20" ht="30" customHeight="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</row>
    <row r="74" spans="2:20" ht="30" customHeight="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</row>
    <row r="75" spans="2:20" ht="30" customHeight="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</row>
    <row r="76" spans="2:20" ht="30" customHeigh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</row>
    <row r="77" spans="2:20" ht="30" customHeight="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</row>
    <row r="78" spans="2:20" ht="30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</row>
    <row r="79" spans="2:20" ht="30" customHeight="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</row>
    <row r="80" spans="2:20" ht="30" customHeigh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</row>
    <row r="81" spans="2:20" ht="30" customHeight="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</row>
    <row r="82" spans="2:20" ht="30" customHeight="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</row>
    <row r="83" spans="2:20" ht="30" customHeight="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</row>
    <row r="84" spans="2:20" ht="30" customHeight="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</row>
    <row r="85" spans="2:20" ht="30" customHeight="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</row>
    <row r="86" spans="2:20" ht="30" customHeight="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</row>
    <row r="87" spans="2:20" ht="30" customHeight="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</row>
    <row r="88" spans="2:20" ht="30" customHeight="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</row>
    <row r="89" spans="2:20" ht="30" customHeight="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</row>
    <row r="90" spans="2:20" ht="30" customHeight="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</row>
    <row r="91" spans="2:20" ht="30" customHeight="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</row>
    <row r="92" spans="2:20" ht="30" customHeight="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</row>
    <row r="93" spans="2:20" ht="30" customHeight="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</row>
    <row r="94" spans="2:20" ht="30" customHeight="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</row>
    <row r="95" spans="2:20" ht="30" customHeight="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</row>
    <row r="96" spans="2:20" ht="30" customHeight="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</row>
    <row r="97" spans="2:20" ht="30" customHeight="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</row>
    <row r="98" spans="2:20" ht="30" customHeight="1" x14ac:dyDescent="0.3">
      <c r="T98" s="4"/>
    </row>
    <row r="99" spans="2:20" ht="30" customHeight="1" x14ac:dyDescent="0.3">
      <c r="T99" s="4"/>
    </row>
    <row r="100" spans="2:20" ht="30" customHeight="1" x14ac:dyDescent="0.3">
      <c r="T100" s="4"/>
    </row>
    <row r="101" spans="2:20" ht="30" customHeight="1" x14ac:dyDescent="0.3">
      <c r="T101" s="4"/>
    </row>
    <row r="102" spans="2:20" ht="30" customHeight="1" x14ac:dyDescent="0.3">
      <c r="T102" s="4"/>
    </row>
    <row r="103" spans="2:20" ht="30" customHeight="1" x14ac:dyDescent="0.3">
      <c r="T103" s="4"/>
    </row>
    <row r="104" spans="2:20" ht="30" customHeight="1" x14ac:dyDescent="0.3">
      <c r="T104" s="4"/>
    </row>
    <row r="105" spans="2:20" ht="30" customHeight="1" x14ac:dyDescent="0.3">
      <c r="T105" s="4"/>
    </row>
    <row r="106" spans="2:20" ht="30" customHeight="1" x14ac:dyDescent="0.3">
      <c r="T106" s="4"/>
    </row>
    <row r="107" spans="2:20" ht="30" customHeight="1" x14ac:dyDescent="0.3">
      <c r="T107" s="4"/>
    </row>
    <row r="108" spans="2:20" ht="30" customHeight="1" x14ac:dyDescent="0.3">
      <c r="T108" s="4"/>
    </row>
    <row r="109" spans="2:20" ht="30" customHeight="1" x14ac:dyDescent="0.3">
      <c r="T109" s="4"/>
    </row>
    <row r="110" spans="2:20" ht="30" customHeight="1" x14ac:dyDescent="0.3">
      <c r="T110" s="4"/>
    </row>
    <row r="111" spans="2:20" ht="30" customHeight="1" x14ac:dyDescent="0.3">
      <c r="T111" s="4"/>
    </row>
    <row r="112" spans="2:20" ht="30" customHeight="1" x14ac:dyDescent="0.3">
      <c r="T112" s="4"/>
    </row>
    <row r="113" spans="2:20" ht="30" customHeight="1" x14ac:dyDescent="0.3">
      <c r="T113" s="4"/>
    </row>
    <row r="114" spans="2:20" ht="30" customHeight="1" thickBot="1" x14ac:dyDescent="0.3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</row>
    <row r="115" spans="2:20" ht="30" customHeight="1" x14ac:dyDescent="0.3"/>
    <row r="116" spans="2:20" ht="30" customHeight="1" x14ac:dyDescent="0.3"/>
    <row r="117" spans="2:20" ht="30" customHeight="1" x14ac:dyDescent="0.3"/>
    <row r="118" spans="2:20" ht="30" customHeight="1" x14ac:dyDescent="0.3"/>
    <row r="119" spans="2:20" ht="30" customHeight="1" x14ac:dyDescent="0.3"/>
    <row r="120" spans="2:20" ht="30" customHeight="1" x14ac:dyDescent="0.3"/>
    <row r="121" spans="2:20" ht="30" customHeight="1" x14ac:dyDescent="0.3"/>
    <row r="122" spans="2:20" ht="30" customHeight="1" x14ac:dyDescent="0.3"/>
    <row r="123" spans="2:20" ht="30" customHeight="1" x14ac:dyDescent="0.3"/>
    <row r="124" spans="2:20" ht="30" customHeight="1" x14ac:dyDescent="0.3"/>
    <row r="125" spans="2:20" ht="30" customHeight="1" x14ac:dyDescent="0.3"/>
    <row r="126" spans="2:20" ht="30" customHeight="1" x14ac:dyDescent="0.3"/>
    <row r="127" spans="2:20" ht="30" customHeight="1" x14ac:dyDescent="0.3"/>
    <row r="128" spans="2:20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</sheetData>
  <mergeCells count="1">
    <mergeCell ref="P2:T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37"/>
  <sheetViews>
    <sheetView workbookViewId="0">
      <selection activeCell="C6" sqref="C6"/>
    </sheetView>
  </sheetViews>
  <sheetFormatPr defaultRowHeight="14.4" x14ac:dyDescent="0.3"/>
  <cols>
    <col min="2" max="2" width="16.5546875" customWidth="1"/>
    <col min="3" max="3" width="13" customWidth="1"/>
    <col min="4" max="4" width="13.88671875" bestFit="1" customWidth="1"/>
    <col min="5" max="5" width="13.33203125" customWidth="1"/>
    <col min="6" max="6" width="12.88671875" customWidth="1"/>
    <col min="7" max="7" width="17.88671875" customWidth="1"/>
    <col min="8" max="8" width="13.5546875" customWidth="1"/>
    <col min="9" max="9" width="14.33203125" customWidth="1"/>
    <col min="10" max="12" width="13.88671875" bestFit="1" customWidth="1"/>
    <col min="13" max="13" width="15.88671875" customWidth="1"/>
    <col min="14" max="14" width="14.5546875" bestFit="1" customWidth="1"/>
    <col min="15" max="15" width="17.6640625" customWidth="1"/>
    <col min="16" max="16" width="15.109375" customWidth="1"/>
    <col min="17" max="17" width="14.6640625" customWidth="1"/>
    <col min="18" max="18" width="18.5546875" bestFit="1" customWidth="1"/>
    <col min="19" max="19" width="14" customWidth="1"/>
    <col min="20" max="20" width="18.5546875" bestFit="1" customWidth="1"/>
    <col min="21" max="21" width="15.33203125" customWidth="1"/>
  </cols>
  <sheetData>
    <row r="1" spans="2:21" ht="30" customHeight="1" thickBot="1" x14ac:dyDescent="0.45">
      <c r="H1" s="61"/>
      <c r="I1" s="61"/>
      <c r="J1" s="61"/>
      <c r="K1" s="61"/>
      <c r="L1" s="61"/>
      <c r="M1" s="61"/>
      <c r="N1" s="61"/>
      <c r="O1" s="61"/>
      <c r="P1" s="61"/>
      <c r="Q1" s="62"/>
      <c r="R1" s="62"/>
      <c r="S1" s="62"/>
    </row>
    <row r="2" spans="2:21" ht="30" customHeight="1" thickBot="1" x14ac:dyDescent="0.35">
      <c r="B2" s="276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8"/>
      <c r="S2" s="270" t="s">
        <v>14</v>
      </c>
      <c r="T2" s="271"/>
      <c r="U2" s="272"/>
    </row>
    <row r="3" spans="2:21" ht="58.5" customHeight="1" thickBot="1" x14ac:dyDescent="0.35">
      <c r="B3" s="162" t="s">
        <v>0</v>
      </c>
      <c r="C3" s="163" t="s">
        <v>1</v>
      </c>
      <c r="D3" s="162" t="s">
        <v>2</v>
      </c>
      <c r="E3" s="207" t="s">
        <v>137</v>
      </c>
      <c r="F3" s="208" t="s">
        <v>138</v>
      </c>
      <c r="G3" s="163" t="s">
        <v>3</v>
      </c>
      <c r="H3" s="162" t="s">
        <v>8</v>
      </c>
      <c r="I3" s="162" t="s">
        <v>134</v>
      </c>
      <c r="J3" s="162" t="s">
        <v>135</v>
      </c>
      <c r="K3" s="162" t="s">
        <v>136</v>
      </c>
      <c r="L3" s="162" t="s">
        <v>11</v>
      </c>
      <c r="M3" s="163" t="s">
        <v>9</v>
      </c>
      <c r="N3" s="164" t="s">
        <v>139</v>
      </c>
      <c r="O3" s="163" t="s">
        <v>140</v>
      </c>
      <c r="P3" s="208" t="s">
        <v>141</v>
      </c>
      <c r="Q3" s="162" t="s">
        <v>13</v>
      </c>
      <c r="R3" s="162" t="s">
        <v>12</v>
      </c>
      <c r="S3" s="207" t="s">
        <v>142</v>
      </c>
      <c r="T3" s="162" t="s">
        <v>12</v>
      </c>
      <c r="U3" s="162" t="s">
        <v>15</v>
      </c>
    </row>
    <row r="4" spans="2:21" ht="30" customHeight="1" x14ac:dyDescent="0.45">
      <c r="B4" s="59">
        <v>43045</v>
      </c>
      <c r="C4" s="49">
        <v>1</v>
      </c>
      <c r="D4" s="185">
        <v>13000</v>
      </c>
      <c r="E4" s="166">
        <v>75</v>
      </c>
      <c r="F4" s="166"/>
      <c r="G4" s="166">
        <f>D4*(E4+F4)</f>
        <v>975000</v>
      </c>
      <c r="H4" s="166">
        <v>15000</v>
      </c>
      <c r="I4" s="166"/>
      <c r="J4" s="166"/>
      <c r="K4" s="188">
        <v>5000</v>
      </c>
      <c r="L4" s="188">
        <v>20000</v>
      </c>
      <c r="M4" s="195">
        <v>35000</v>
      </c>
      <c r="N4" s="191">
        <v>15000</v>
      </c>
      <c r="O4" s="166">
        <v>5000</v>
      </c>
      <c r="P4" s="166">
        <v>20000</v>
      </c>
      <c r="Q4" s="166">
        <v>40000</v>
      </c>
      <c r="R4" s="166">
        <f>G4+H4+I4+J4+K4+L4+M4+N4+O4+P4+Q4</f>
        <v>1130000</v>
      </c>
      <c r="S4" s="166">
        <v>100</v>
      </c>
      <c r="T4" s="166">
        <f>S4*D4</f>
        <v>1300000</v>
      </c>
      <c r="U4" s="172">
        <f>T4-R4</f>
        <v>170000</v>
      </c>
    </row>
    <row r="5" spans="2:21" ht="30" customHeight="1" x14ac:dyDescent="0.45">
      <c r="B5" s="27">
        <v>43046</v>
      </c>
      <c r="C5" s="165">
        <v>1</v>
      </c>
      <c r="D5" s="198"/>
      <c r="E5" s="173"/>
      <c r="F5" s="173"/>
      <c r="G5" s="167">
        <f t="shared" ref="G5:G10" si="0">D5*(E5+F5)</f>
        <v>0</v>
      </c>
      <c r="H5" s="165"/>
      <c r="I5" s="165"/>
      <c r="J5" s="165"/>
      <c r="K5" s="200"/>
      <c r="L5" s="189"/>
      <c r="M5" s="196">
        <f t="shared" ref="M5:M38" si="1">10*D5</f>
        <v>0</v>
      </c>
      <c r="N5" s="192"/>
      <c r="O5" s="173"/>
      <c r="P5" s="173"/>
      <c r="Q5" s="173"/>
      <c r="R5" s="173">
        <f t="shared" ref="R5:R38" si="2">G5+H5+L5+M5+O5+P5+Q5</f>
        <v>0</v>
      </c>
      <c r="S5" s="173"/>
      <c r="T5" s="173">
        <f t="shared" ref="T5:T38" si="3">S5*D5</f>
        <v>0</v>
      </c>
      <c r="U5" s="174">
        <f t="shared" ref="U5:U38" si="4">T5-R5</f>
        <v>0</v>
      </c>
    </row>
    <row r="6" spans="2:21" ht="30" customHeight="1" x14ac:dyDescent="0.45">
      <c r="B6" s="27">
        <v>43047</v>
      </c>
      <c r="C6" s="165">
        <v>1</v>
      </c>
      <c r="D6" s="198"/>
      <c r="E6" s="173"/>
      <c r="F6" s="173"/>
      <c r="G6" s="167">
        <f t="shared" si="0"/>
        <v>0</v>
      </c>
      <c r="H6" s="17"/>
      <c r="I6" s="17"/>
      <c r="J6" s="17"/>
      <c r="K6" s="187"/>
      <c r="L6" s="189"/>
      <c r="M6" s="196">
        <f t="shared" si="1"/>
        <v>0</v>
      </c>
      <c r="N6" s="192"/>
      <c r="O6" s="173"/>
      <c r="P6" s="173"/>
      <c r="Q6" s="173"/>
      <c r="R6" s="173">
        <f t="shared" si="2"/>
        <v>0</v>
      </c>
      <c r="S6" s="173"/>
      <c r="T6" s="173">
        <f t="shared" si="3"/>
        <v>0</v>
      </c>
      <c r="U6" s="174">
        <f t="shared" si="4"/>
        <v>0</v>
      </c>
    </row>
    <row r="7" spans="2:21" ht="30" customHeight="1" x14ac:dyDescent="0.45">
      <c r="B7" s="27">
        <v>43048</v>
      </c>
      <c r="C7" s="165">
        <v>1</v>
      </c>
      <c r="D7" s="198"/>
      <c r="E7" s="173"/>
      <c r="F7" s="173"/>
      <c r="G7" s="167">
        <f t="shared" si="0"/>
        <v>0</v>
      </c>
      <c r="H7" s="17"/>
      <c r="I7" s="17"/>
      <c r="J7" s="17"/>
      <c r="K7" s="187"/>
      <c r="L7" s="189"/>
      <c r="M7" s="196">
        <f t="shared" si="1"/>
        <v>0</v>
      </c>
      <c r="N7" s="192"/>
      <c r="O7" s="173"/>
      <c r="P7" s="173"/>
      <c r="Q7" s="173"/>
      <c r="R7" s="173">
        <f t="shared" si="2"/>
        <v>0</v>
      </c>
      <c r="S7" s="173"/>
      <c r="T7" s="173">
        <f t="shared" si="3"/>
        <v>0</v>
      </c>
      <c r="U7" s="174">
        <f t="shared" si="4"/>
        <v>0</v>
      </c>
    </row>
    <row r="8" spans="2:21" ht="30" customHeight="1" x14ac:dyDescent="0.45">
      <c r="B8" s="27">
        <v>43049</v>
      </c>
      <c r="C8" s="165">
        <v>1</v>
      </c>
      <c r="D8" s="198"/>
      <c r="E8" s="173"/>
      <c r="F8" s="173"/>
      <c r="G8" s="167">
        <f t="shared" si="0"/>
        <v>0</v>
      </c>
      <c r="H8" s="17"/>
      <c r="I8" s="17"/>
      <c r="J8" s="17"/>
      <c r="K8" s="187"/>
      <c r="L8" s="189"/>
      <c r="M8" s="196">
        <f t="shared" si="1"/>
        <v>0</v>
      </c>
      <c r="N8" s="192"/>
      <c r="O8" s="173"/>
      <c r="P8" s="173"/>
      <c r="Q8" s="173"/>
      <c r="R8" s="173">
        <f t="shared" si="2"/>
        <v>0</v>
      </c>
      <c r="S8" s="173"/>
      <c r="T8" s="173">
        <f t="shared" si="3"/>
        <v>0</v>
      </c>
      <c r="U8" s="174">
        <f t="shared" si="4"/>
        <v>0</v>
      </c>
    </row>
    <row r="9" spans="2:21" ht="30" customHeight="1" x14ac:dyDescent="0.45">
      <c r="B9" s="27">
        <v>43050</v>
      </c>
      <c r="C9" s="165">
        <v>1</v>
      </c>
      <c r="D9" s="198"/>
      <c r="E9" s="173"/>
      <c r="F9" s="173"/>
      <c r="G9" s="167">
        <f t="shared" si="0"/>
        <v>0</v>
      </c>
      <c r="H9" s="17"/>
      <c r="I9" s="17"/>
      <c r="J9" s="17"/>
      <c r="K9" s="187"/>
      <c r="L9" s="189"/>
      <c r="M9" s="196">
        <f t="shared" si="1"/>
        <v>0</v>
      </c>
      <c r="N9" s="192"/>
      <c r="O9" s="173"/>
      <c r="P9" s="173"/>
      <c r="Q9" s="173"/>
      <c r="R9" s="173">
        <f t="shared" si="2"/>
        <v>0</v>
      </c>
      <c r="S9" s="173"/>
      <c r="T9" s="173">
        <f t="shared" si="3"/>
        <v>0</v>
      </c>
      <c r="U9" s="174">
        <f t="shared" si="4"/>
        <v>0</v>
      </c>
    </row>
    <row r="10" spans="2:21" ht="30" customHeight="1" x14ac:dyDescent="0.45">
      <c r="B10" s="27">
        <v>43051</v>
      </c>
      <c r="C10" s="165">
        <v>1</v>
      </c>
      <c r="D10" s="198"/>
      <c r="E10" s="173"/>
      <c r="F10" s="173"/>
      <c r="G10" s="167">
        <f t="shared" si="0"/>
        <v>0</v>
      </c>
      <c r="H10" s="165"/>
      <c r="I10" s="165"/>
      <c r="J10" s="165"/>
      <c r="K10" s="200"/>
      <c r="L10" s="189"/>
      <c r="M10" s="196">
        <f t="shared" si="1"/>
        <v>0</v>
      </c>
      <c r="N10" s="192"/>
      <c r="O10" s="173"/>
      <c r="P10" s="173"/>
      <c r="Q10" s="173"/>
      <c r="R10" s="173">
        <f t="shared" si="2"/>
        <v>0</v>
      </c>
      <c r="S10" s="173"/>
      <c r="T10" s="173">
        <f t="shared" si="3"/>
        <v>0</v>
      </c>
      <c r="U10" s="174">
        <f t="shared" si="4"/>
        <v>0</v>
      </c>
    </row>
    <row r="11" spans="2:21" ht="30" customHeight="1" x14ac:dyDescent="0.45">
      <c r="B11" s="27">
        <v>43052</v>
      </c>
      <c r="C11" s="165">
        <v>1</v>
      </c>
      <c r="D11" s="198"/>
      <c r="E11" s="173"/>
      <c r="F11" s="173"/>
      <c r="G11" s="167">
        <f>D11*(E11+F11)</f>
        <v>0</v>
      </c>
      <c r="H11" s="17"/>
      <c r="I11" s="17"/>
      <c r="J11" s="17"/>
      <c r="K11" s="187"/>
      <c r="L11" s="189"/>
      <c r="M11" s="196">
        <f t="shared" si="1"/>
        <v>0</v>
      </c>
      <c r="N11" s="192"/>
      <c r="O11" s="173"/>
      <c r="P11" s="173"/>
      <c r="Q11" s="173"/>
      <c r="R11" s="173">
        <f t="shared" si="2"/>
        <v>0</v>
      </c>
      <c r="S11" s="173"/>
      <c r="T11" s="173">
        <f t="shared" si="3"/>
        <v>0</v>
      </c>
      <c r="U11" s="174">
        <f t="shared" si="4"/>
        <v>0</v>
      </c>
    </row>
    <row r="12" spans="2:21" ht="30" customHeight="1" x14ac:dyDescent="0.45">
      <c r="B12" s="27">
        <v>43053</v>
      </c>
      <c r="C12" s="165">
        <v>1</v>
      </c>
      <c r="D12" s="198"/>
      <c r="E12" s="173"/>
      <c r="F12" s="173"/>
      <c r="G12" s="167">
        <f t="shared" ref="G12:G40" si="5">D12*(E12+F12)</f>
        <v>0</v>
      </c>
      <c r="H12" s="17"/>
      <c r="I12" s="17"/>
      <c r="J12" s="17"/>
      <c r="K12" s="187"/>
      <c r="L12" s="189"/>
      <c r="M12" s="196">
        <f t="shared" si="1"/>
        <v>0</v>
      </c>
      <c r="N12" s="192"/>
      <c r="O12" s="173"/>
      <c r="P12" s="173"/>
      <c r="Q12" s="173"/>
      <c r="R12" s="173">
        <f t="shared" si="2"/>
        <v>0</v>
      </c>
      <c r="S12" s="173"/>
      <c r="T12" s="173">
        <f t="shared" si="3"/>
        <v>0</v>
      </c>
      <c r="U12" s="174">
        <f t="shared" si="4"/>
        <v>0</v>
      </c>
    </row>
    <row r="13" spans="2:21" s="26" customFormat="1" ht="30" customHeight="1" x14ac:dyDescent="0.45">
      <c r="B13" s="27">
        <v>43054</v>
      </c>
      <c r="C13" s="171">
        <v>1</v>
      </c>
      <c r="D13" s="198"/>
      <c r="E13" s="175"/>
      <c r="F13" s="175"/>
      <c r="G13" s="168">
        <f t="shared" si="5"/>
        <v>0</v>
      </c>
      <c r="H13" s="23"/>
      <c r="I13" s="23"/>
      <c r="J13" s="23"/>
      <c r="K13" s="201"/>
      <c r="L13" s="189"/>
      <c r="M13" s="196">
        <f t="shared" si="1"/>
        <v>0</v>
      </c>
      <c r="N13" s="193"/>
      <c r="O13" s="173"/>
      <c r="P13" s="173"/>
      <c r="Q13" s="173"/>
      <c r="R13" s="173">
        <f t="shared" si="2"/>
        <v>0</v>
      </c>
      <c r="S13" s="173"/>
      <c r="T13" s="173">
        <f t="shared" si="3"/>
        <v>0</v>
      </c>
      <c r="U13" s="174">
        <f t="shared" si="4"/>
        <v>0</v>
      </c>
    </row>
    <row r="14" spans="2:21" ht="30" customHeight="1" x14ac:dyDescent="0.45">
      <c r="B14" s="27">
        <v>43055</v>
      </c>
      <c r="C14" s="165">
        <v>1</v>
      </c>
      <c r="D14" s="198"/>
      <c r="E14" s="175"/>
      <c r="F14" s="175"/>
      <c r="G14" s="168">
        <f t="shared" si="5"/>
        <v>0</v>
      </c>
      <c r="H14" s="23"/>
      <c r="I14" s="23"/>
      <c r="J14" s="23"/>
      <c r="K14" s="201"/>
      <c r="L14" s="189"/>
      <c r="M14" s="196">
        <f t="shared" si="1"/>
        <v>0</v>
      </c>
      <c r="N14" s="192"/>
      <c r="O14" s="173"/>
      <c r="P14" s="173"/>
      <c r="Q14" s="173"/>
      <c r="R14" s="173">
        <f t="shared" si="2"/>
        <v>0</v>
      </c>
      <c r="S14" s="173"/>
      <c r="T14" s="173">
        <f t="shared" si="3"/>
        <v>0</v>
      </c>
      <c r="U14" s="174">
        <f t="shared" si="4"/>
        <v>0</v>
      </c>
    </row>
    <row r="15" spans="2:21" ht="30" customHeight="1" x14ac:dyDescent="0.45">
      <c r="B15" s="27">
        <v>43056</v>
      </c>
      <c r="C15" s="165">
        <v>1</v>
      </c>
      <c r="D15" s="198"/>
      <c r="E15" s="175"/>
      <c r="F15" s="175"/>
      <c r="G15" s="167">
        <f t="shared" si="5"/>
        <v>0</v>
      </c>
      <c r="H15" s="23"/>
      <c r="I15" s="23"/>
      <c r="J15" s="23"/>
      <c r="K15" s="201"/>
      <c r="L15" s="189"/>
      <c r="M15" s="196">
        <f t="shared" si="1"/>
        <v>0</v>
      </c>
      <c r="N15" s="192"/>
      <c r="O15" s="173"/>
      <c r="P15" s="173"/>
      <c r="Q15" s="173"/>
      <c r="R15" s="173">
        <f t="shared" si="2"/>
        <v>0</v>
      </c>
      <c r="S15" s="173"/>
      <c r="T15" s="173">
        <f t="shared" si="3"/>
        <v>0</v>
      </c>
      <c r="U15" s="174">
        <f t="shared" si="4"/>
        <v>0</v>
      </c>
    </row>
    <row r="16" spans="2:21" ht="30" customHeight="1" x14ac:dyDescent="0.45">
      <c r="B16" s="27">
        <v>43057</v>
      </c>
      <c r="C16" s="165">
        <v>1</v>
      </c>
      <c r="D16" s="198"/>
      <c r="E16" s="175"/>
      <c r="F16" s="175"/>
      <c r="G16" s="167">
        <f t="shared" si="5"/>
        <v>0</v>
      </c>
      <c r="H16" s="23"/>
      <c r="I16" s="23"/>
      <c r="J16" s="23"/>
      <c r="K16" s="201"/>
      <c r="L16" s="189"/>
      <c r="M16" s="196">
        <f t="shared" si="1"/>
        <v>0</v>
      </c>
      <c r="N16" s="192"/>
      <c r="O16" s="173"/>
      <c r="P16" s="173"/>
      <c r="Q16" s="173"/>
      <c r="R16" s="173">
        <f t="shared" si="2"/>
        <v>0</v>
      </c>
      <c r="S16" s="173"/>
      <c r="T16" s="173">
        <f t="shared" si="3"/>
        <v>0</v>
      </c>
      <c r="U16" s="174">
        <f t="shared" si="4"/>
        <v>0</v>
      </c>
    </row>
    <row r="17" spans="2:21" s="26" customFormat="1" ht="30" customHeight="1" x14ac:dyDescent="0.45">
      <c r="B17" s="27">
        <v>43058</v>
      </c>
      <c r="C17" s="171">
        <v>1</v>
      </c>
      <c r="D17" s="198"/>
      <c r="E17" s="175"/>
      <c r="F17" s="175"/>
      <c r="G17" s="167">
        <f t="shared" si="5"/>
        <v>0</v>
      </c>
      <c r="H17" s="23"/>
      <c r="I17" s="23"/>
      <c r="J17" s="23"/>
      <c r="K17" s="201"/>
      <c r="L17" s="189"/>
      <c r="M17" s="196">
        <f t="shared" si="1"/>
        <v>0</v>
      </c>
      <c r="N17" s="193"/>
      <c r="O17" s="173"/>
      <c r="P17" s="173"/>
      <c r="Q17" s="173"/>
      <c r="R17" s="173">
        <f t="shared" si="2"/>
        <v>0</v>
      </c>
      <c r="S17" s="173"/>
      <c r="T17" s="173">
        <f t="shared" si="3"/>
        <v>0</v>
      </c>
      <c r="U17" s="174">
        <f t="shared" si="4"/>
        <v>0</v>
      </c>
    </row>
    <row r="18" spans="2:21" ht="30" customHeight="1" x14ac:dyDescent="0.45">
      <c r="B18" s="27">
        <v>43059</v>
      </c>
      <c r="C18" s="165">
        <v>1</v>
      </c>
      <c r="D18" s="198"/>
      <c r="E18" s="175"/>
      <c r="F18" s="175"/>
      <c r="G18" s="167">
        <f t="shared" si="5"/>
        <v>0</v>
      </c>
      <c r="H18" s="23"/>
      <c r="I18" s="23"/>
      <c r="J18" s="23"/>
      <c r="K18" s="201"/>
      <c r="L18" s="189"/>
      <c r="M18" s="196">
        <f t="shared" si="1"/>
        <v>0</v>
      </c>
      <c r="N18" s="192"/>
      <c r="O18" s="173"/>
      <c r="P18" s="173"/>
      <c r="Q18" s="173"/>
      <c r="R18" s="173">
        <f t="shared" si="2"/>
        <v>0</v>
      </c>
      <c r="S18" s="173"/>
      <c r="T18" s="173">
        <f t="shared" si="3"/>
        <v>0</v>
      </c>
      <c r="U18" s="174">
        <f t="shared" si="4"/>
        <v>0</v>
      </c>
    </row>
    <row r="19" spans="2:21" ht="30" customHeight="1" x14ac:dyDescent="0.45">
      <c r="B19" s="27">
        <v>43060</v>
      </c>
      <c r="C19" s="165"/>
      <c r="D19" s="198"/>
      <c r="E19" s="175"/>
      <c r="F19" s="175"/>
      <c r="G19" s="167">
        <f t="shared" si="5"/>
        <v>0</v>
      </c>
      <c r="H19" s="23"/>
      <c r="I19" s="23"/>
      <c r="J19" s="23"/>
      <c r="K19" s="201"/>
      <c r="L19" s="189"/>
      <c r="M19" s="196">
        <f t="shared" si="1"/>
        <v>0</v>
      </c>
      <c r="N19" s="192"/>
      <c r="O19" s="173"/>
      <c r="P19" s="173"/>
      <c r="Q19" s="173"/>
      <c r="R19" s="173">
        <f t="shared" si="2"/>
        <v>0</v>
      </c>
      <c r="S19" s="173"/>
      <c r="T19" s="173">
        <f t="shared" si="3"/>
        <v>0</v>
      </c>
      <c r="U19" s="174">
        <f t="shared" si="4"/>
        <v>0</v>
      </c>
    </row>
    <row r="20" spans="2:21" ht="30" customHeight="1" x14ac:dyDescent="0.45">
      <c r="B20" s="27">
        <v>43061</v>
      </c>
      <c r="C20" s="17"/>
      <c r="D20" s="198"/>
      <c r="E20" s="175"/>
      <c r="F20" s="175"/>
      <c r="G20" s="167">
        <f t="shared" si="5"/>
        <v>0</v>
      </c>
      <c r="H20" s="23"/>
      <c r="I20" s="23"/>
      <c r="J20" s="23"/>
      <c r="K20" s="201"/>
      <c r="L20" s="189"/>
      <c r="M20" s="196">
        <f t="shared" si="1"/>
        <v>0</v>
      </c>
      <c r="N20" s="192"/>
      <c r="O20" s="173"/>
      <c r="P20" s="173"/>
      <c r="Q20" s="173"/>
      <c r="R20" s="173">
        <f t="shared" si="2"/>
        <v>0</v>
      </c>
      <c r="S20" s="173"/>
      <c r="T20" s="173">
        <f t="shared" si="3"/>
        <v>0</v>
      </c>
      <c r="U20" s="174">
        <f t="shared" si="4"/>
        <v>0</v>
      </c>
    </row>
    <row r="21" spans="2:21" ht="30" customHeight="1" x14ac:dyDescent="0.45">
      <c r="B21" s="27">
        <v>43062</v>
      </c>
      <c r="C21" s="17"/>
      <c r="D21" s="198"/>
      <c r="E21" s="175"/>
      <c r="F21" s="175"/>
      <c r="G21" s="167">
        <f t="shared" si="5"/>
        <v>0</v>
      </c>
      <c r="H21" s="23"/>
      <c r="I21" s="23"/>
      <c r="J21" s="23"/>
      <c r="K21" s="201"/>
      <c r="L21" s="189"/>
      <c r="M21" s="196">
        <f t="shared" si="1"/>
        <v>0</v>
      </c>
      <c r="N21" s="192"/>
      <c r="O21" s="173"/>
      <c r="P21" s="173"/>
      <c r="Q21" s="173"/>
      <c r="R21" s="173">
        <f t="shared" si="2"/>
        <v>0</v>
      </c>
      <c r="S21" s="173"/>
      <c r="T21" s="173">
        <f t="shared" si="3"/>
        <v>0</v>
      </c>
      <c r="U21" s="174">
        <f t="shared" si="4"/>
        <v>0</v>
      </c>
    </row>
    <row r="22" spans="2:21" ht="30" customHeight="1" x14ac:dyDescent="0.45">
      <c r="B22" s="27">
        <v>43063</v>
      </c>
      <c r="C22" s="17"/>
      <c r="D22" s="198"/>
      <c r="E22" s="175"/>
      <c r="F22" s="175"/>
      <c r="G22" s="167">
        <f t="shared" si="5"/>
        <v>0</v>
      </c>
      <c r="H22" s="23"/>
      <c r="I22" s="23"/>
      <c r="J22" s="23"/>
      <c r="K22" s="201"/>
      <c r="L22" s="189"/>
      <c r="M22" s="196">
        <f t="shared" si="1"/>
        <v>0</v>
      </c>
      <c r="N22" s="192"/>
      <c r="O22" s="173"/>
      <c r="P22" s="173"/>
      <c r="Q22" s="173"/>
      <c r="R22" s="173">
        <f t="shared" si="2"/>
        <v>0</v>
      </c>
      <c r="S22" s="173"/>
      <c r="T22" s="173">
        <f t="shared" si="3"/>
        <v>0</v>
      </c>
      <c r="U22" s="174">
        <f t="shared" si="4"/>
        <v>0</v>
      </c>
    </row>
    <row r="23" spans="2:21" ht="30" customHeight="1" x14ac:dyDescent="0.45">
      <c r="B23" s="27">
        <v>43064</v>
      </c>
      <c r="C23" s="17"/>
      <c r="D23" s="198"/>
      <c r="E23" s="175"/>
      <c r="F23" s="175"/>
      <c r="G23" s="167">
        <f t="shared" si="5"/>
        <v>0</v>
      </c>
      <c r="H23" s="23"/>
      <c r="I23" s="23"/>
      <c r="J23" s="23"/>
      <c r="K23" s="201"/>
      <c r="L23" s="189"/>
      <c r="M23" s="196">
        <f t="shared" si="1"/>
        <v>0</v>
      </c>
      <c r="N23" s="192"/>
      <c r="O23" s="173"/>
      <c r="P23" s="173"/>
      <c r="Q23" s="173"/>
      <c r="R23" s="173">
        <f t="shared" si="2"/>
        <v>0</v>
      </c>
      <c r="S23" s="173"/>
      <c r="T23" s="173">
        <f t="shared" si="3"/>
        <v>0</v>
      </c>
      <c r="U23" s="174">
        <f t="shared" si="4"/>
        <v>0</v>
      </c>
    </row>
    <row r="24" spans="2:21" s="26" customFormat="1" ht="30" customHeight="1" x14ac:dyDescent="0.45">
      <c r="B24" s="27">
        <v>43065</v>
      </c>
      <c r="C24" s="23"/>
      <c r="D24" s="198"/>
      <c r="E24" s="175"/>
      <c r="F24" s="175"/>
      <c r="G24" s="168">
        <f t="shared" si="5"/>
        <v>0</v>
      </c>
      <c r="H24" s="23"/>
      <c r="I24" s="23"/>
      <c r="J24" s="23"/>
      <c r="K24" s="201"/>
      <c r="L24" s="189"/>
      <c r="M24" s="196">
        <f t="shared" si="1"/>
        <v>0</v>
      </c>
      <c r="N24" s="193"/>
      <c r="O24" s="173"/>
      <c r="P24" s="173"/>
      <c r="Q24" s="173"/>
      <c r="R24" s="173">
        <f t="shared" si="2"/>
        <v>0</v>
      </c>
      <c r="S24" s="173"/>
      <c r="T24" s="173">
        <f t="shared" si="3"/>
        <v>0</v>
      </c>
      <c r="U24" s="174">
        <f t="shared" si="4"/>
        <v>0</v>
      </c>
    </row>
    <row r="25" spans="2:21" ht="30" customHeight="1" x14ac:dyDescent="0.45">
      <c r="B25" s="27">
        <v>43066</v>
      </c>
      <c r="C25" s="17"/>
      <c r="D25" s="198"/>
      <c r="E25" s="175"/>
      <c r="F25" s="175"/>
      <c r="G25" s="167">
        <f t="shared" si="5"/>
        <v>0</v>
      </c>
      <c r="H25" s="23"/>
      <c r="I25" s="23"/>
      <c r="J25" s="23"/>
      <c r="K25" s="201"/>
      <c r="L25" s="189"/>
      <c r="M25" s="196">
        <f t="shared" si="1"/>
        <v>0</v>
      </c>
      <c r="N25" s="192"/>
      <c r="O25" s="173"/>
      <c r="P25" s="173"/>
      <c r="Q25" s="173"/>
      <c r="R25" s="173">
        <f t="shared" si="2"/>
        <v>0</v>
      </c>
      <c r="S25" s="173"/>
      <c r="T25" s="173">
        <f t="shared" si="3"/>
        <v>0</v>
      </c>
      <c r="U25" s="174">
        <f t="shared" si="4"/>
        <v>0</v>
      </c>
    </row>
    <row r="26" spans="2:21" ht="30" customHeight="1" x14ac:dyDescent="0.45">
      <c r="B26" s="27">
        <v>43067</v>
      </c>
      <c r="C26" s="17"/>
      <c r="D26" s="198"/>
      <c r="E26" s="175"/>
      <c r="F26" s="175"/>
      <c r="G26" s="167">
        <f t="shared" si="5"/>
        <v>0</v>
      </c>
      <c r="H26" s="23"/>
      <c r="I26" s="23"/>
      <c r="J26" s="23"/>
      <c r="K26" s="201"/>
      <c r="L26" s="189"/>
      <c r="M26" s="196">
        <f t="shared" si="1"/>
        <v>0</v>
      </c>
      <c r="N26" s="192"/>
      <c r="O26" s="173"/>
      <c r="P26" s="173"/>
      <c r="Q26" s="173"/>
      <c r="R26" s="173">
        <f t="shared" si="2"/>
        <v>0</v>
      </c>
      <c r="S26" s="173"/>
      <c r="T26" s="173">
        <f t="shared" si="3"/>
        <v>0</v>
      </c>
      <c r="U26" s="174">
        <f t="shared" si="4"/>
        <v>0</v>
      </c>
    </row>
    <row r="27" spans="2:21" ht="30" customHeight="1" x14ac:dyDescent="0.45">
      <c r="B27" s="27">
        <v>43068</v>
      </c>
      <c r="C27" s="17"/>
      <c r="D27" s="198"/>
      <c r="E27" s="175"/>
      <c r="F27" s="175"/>
      <c r="G27" s="167">
        <f t="shared" si="5"/>
        <v>0</v>
      </c>
      <c r="H27" s="23"/>
      <c r="I27" s="23"/>
      <c r="J27" s="23"/>
      <c r="K27" s="201"/>
      <c r="L27" s="189"/>
      <c r="M27" s="196">
        <f t="shared" si="1"/>
        <v>0</v>
      </c>
      <c r="N27" s="192"/>
      <c r="O27" s="173"/>
      <c r="P27" s="173"/>
      <c r="Q27" s="173"/>
      <c r="R27" s="173">
        <f t="shared" si="2"/>
        <v>0</v>
      </c>
      <c r="S27" s="173"/>
      <c r="T27" s="173">
        <f t="shared" si="3"/>
        <v>0</v>
      </c>
      <c r="U27" s="174">
        <f t="shared" si="4"/>
        <v>0</v>
      </c>
    </row>
    <row r="28" spans="2:21" ht="30" customHeight="1" x14ac:dyDescent="0.45">
      <c r="B28" s="27">
        <v>43069</v>
      </c>
      <c r="C28" s="17"/>
      <c r="D28" s="198"/>
      <c r="E28" s="175"/>
      <c r="F28" s="175"/>
      <c r="G28" s="167">
        <f t="shared" si="5"/>
        <v>0</v>
      </c>
      <c r="H28" s="23"/>
      <c r="I28" s="23"/>
      <c r="J28" s="23"/>
      <c r="K28" s="201"/>
      <c r="L28" s="189"/>
      <c r="M28" s="196">
        <f t="shared" si="1"/>
        <v>0</v>
      </c>
      <c r="N28" s="192"/>
      <c r="O28" s="173"/>
      <c r="P28" s="173"/>
      <c r="Q28" s="173"/>
      <c r="R28" s="173">
        <f t="shared" si="2"/>
        <v>0</v>
      </c>
      <c r="S28" s="173"/>
      <c r="T28" s="173">
        <f t="shared" si="3"/>
        <v>0</v>
      </c>
      <c r="U28" s="174">
        <f t="shared" si="4"/>
        <v>0</v>
      </c>
    </row>
    <row r="29" spans="2:21" ht="30" customHeight="1" x14ac:dyDescent="0.45">
      <c r="B29" s="27">
        <v>43070</v>
      </c>
      <c r="C29" s="17"/>
      <c r="D29" s="198"/>
      <c r="E29" s="175"/>
      <c r="F29" s="175"/>
      <c r="G29" s="167">
        <f t="shared" si="5"/>
        <v>0</v>
      </c>
      <c r="H29" s="23"/>
      <c r="I29" s="23"/>
      <c r="J29" s="23"/>
      <c r="K29" s="201"/>
      <c r="L29" s="189"/>
      <c r="M29" s="196">
        <f t="shared" si="1"/>
        <v>0</v>
      </c>
      <c r="N29" s="192"/>
      <c r="O29" s="173"/>
      <c r="P29" s="173"/>
      <c r="Q29" s="173"/>
      <c r="R29" s="173">
        <f t="shared" si="2"/>
        <v>0</v>
      </c>
      <c r="S29" s="173"/>
      <c r="T29" s="173">
        <f t="shared" si="3"/>
        <v>0</v>
      </c>
      <c r="U29" s="174">
        <f t="shared" si="4"/>
        <v>0</v>
      </c>
    </row>
    <row r="30" spans="2:21" ht="30" customHeight="1" x14ac:dyDescent="0.45">
      <c r="B30" s="27">
        <v>43071</v>
      </c>
      <c r="C30" s="17"/>
      <c r="D30" s="198"/>
      <c r="E30" s="175"/>
      <c r="F30" s="175"/>
      <c r="G30" s="167">
        <f t="shared" si="5"/>
        <v>0</v>
      </c>
      <c r="H30" s="23"/>
      <c r="I30" s="23"/>
      <c r="J30" s="23"/>
      <c r="K30" s="201"/>
      <c r="L30" s="189"/>
      <c r="M30" s="196">
        <f t="shared" si="1"/>
        <v>0</v>
      </c>
      <c r="N30" s="192"/>
      <c r="O30" s="173"/>
      <c r="P30" s="173"/>
      <c r="Q30" s="173"/>
      <c r="R30" s="173">
        <f t="shared" si="2"/>
        <v>0</v>
      </c>
      <c r="S30" s="173"/>
      <c r="T30" s="173">
        <f t="shared" si="3"/>
        <v>0</v>
      </c>
      <c r="U30" s="174">
        <f t="shared" si="4"/>
        <v>0</v>
      </c>
    </row>
    <row r="31" spans="2:21" s="26" customFormat="1" ht="30" customHeight="1" x14ac:dyDescent="0.45">
      <c r="B31" s="27">
        <v>43072</v>
      </c>
      <c r="C31" s="23"/>
      <c r="D31" s="198"/>
      <c r="E31" s="175"/>
      <c r="F31" s="175"/>
      <c r="G31" s="168">
        <f t="shared" si="5"/>
        <v>0</v>
      </c>
      <c r="H31" s="23"/>
      <c r="I31" s="23"/>
      <c r="J31" s="23"/>
      <c r="K31" s="201"/>
      <c r="L31" s="189"/>
      <c r="M31" s="196">
        <f t="shared" si="1"/>
        <v>0</v>
      </c>
      <c r="N31" s="193"/>
      <c r="O31" s="173"/>
      <c r="P31" s="173"/>
      <c r="Q31" s="173"/>
      <c r="R31" s="173">
        <f t="shared" si="2"/>
        <v>0</v>
      </c>
      <c r="S31" s="173"/>
      <c r="T31" s="173">
        <f t="shared" si="3"/>
        <v>0</v>
      </c>
      <c r="U31" s="174">
        <f t="shared" si="4"/>
        <v>0</v>
      </c>
    </row>
    <row r="32" spans="2:21" ht="30" customHeight="1" x14ac:dyDescent="0.45">
      <c r="B32" s="27">
        <v>43073</v>
      </c>
      <c r="C32" s="17"/>
      <c r="D32" s="198"/>
      <c r="E32" s="175"/>
      <c r="F32" s="175"/>
      <c r="G32" s="167">
        <f t="shared" si="5"/>
        <v>0</v>
      </c>
      <c r="H32" s="23"/>
      <c r="I32" s="23"/>
      <c r="J32" s="23"/>
      <c r="K32" s="201"/>
      <c r="L32" s="189"/>
      <c r="M32" s="196">
        <f t="shared" si="1"/>
        <v>0</v>
      </c>
      <c r="N32" s="192"/>
      <c r="O32" s="173"/>
      <c r="P32" s="173"/>
      <c r="Q32" s="173"/>
      <c r="R32" s="173">
        <f t="shared" si="2"/>
        <v>0</v>
      </c>
      <c r="S32" s="173"/>
      <c r="T32" s="173">
        <f t="shared" si="3"/>
        <v>0</v>
      </c>
      <c r="U32" s="174">
        <f t="shared" si="4"/>
        <v>0</v>
      </c>
    </row>
    <row r="33" spans="2:21" ht="30" customHeight="1" x14ac:dyDescent="0.45">
      <c r="B33" s="27">
        <v>43074</v>
      </c>
      <c r="C33" s="53"/>
      <c r="D33" s="198"/>
      <c r="E33" s="183"/>
      <c r="F33" s="183"/>
      <c r="G33" s="169">
        <f t="shared" si="5"/>
        <v>0</v>
      </c>
      <c r="H33" s="52"/>
      <c r="I33" s="52"/>
      <c r="J33" s="52"/>
      <c r="K33" s="202"/>
      <c r="L33" s="189"/>
      <c r="M33" s="196">
        <f t="shared" si="1"/>
        <v>0</v>
      </c>
      <c r="N33" s="192"/>
      <c r="O33" s="173"/>
      <c r="P33" s="173"/>
      <c r="Q33" s="173"/>
      <c r="R33" s="173">
        <f t="shared" si="2"/>
        <v>0</v>
      </c>
      <c r="S33" s="173"/>
      <c r="T33" s="173">
        <f t="shared" si="3"/>
        <v>0</v>
      </c>
      <c r="U33" s="174">
        <f t="shared" si="4"/>
        <v>0</v>
      </c>
    </row>
    <row r="34" spans="2:21" ht="30" customHeight="1" x14ac:dyDescent="0.45">
      <c r="B34" s="27">
        <v>43075</v>
      </c>
      <c r="C34" s="17"/>
      <c r="D34" s="198"/>
      <c r="E34" s="175"/>
      <c r="F34" s="175"/>
      <c r="G34" s="167">
        <f t="shared" si="5"/>
        <v>0</v>
      </c>
      <c r="H34" s="23"/>
      <c r="I34" s="23"/>
      <c r="J34" s="23"/>
      <c r="K34" s="201"/>
      <c r="L34" s="189"/>
      <c r="M34" s="196">
        <f t="shared" si="1"/>
        <v>0</v>
      </c>
      <c r="N34" s="192"/>
      <c r="O34" s="173"/>
      <c r="P34" s="173"/>
      <c r="Q34" s="173"/>
      <c r="R34" s="173">
        <f t="shared" si="2"/>
        <v>0</v>
      </c>
      <c r="S34" s="173"/>
      <c r="T34" s="173">
        <f t="shared" si="3"/>
        <v>0</v>
      </c>
      <c r="U34" s="174">
        <f t="shared" si="4"/>
        <v>0</v>
      </c>
    </row>
    <row r="35" spans="2:21" ht="30" customHeight="1" x14ac:dyDescent="0.45">
      <c r="B35" s="27">
        <v>43076</v>
      </c>
      <c r="C35" s="51"/>
      <c r="D35" s="198"/>
      <c r="E35" s="175"/>
      <c r="F35" s="175"/>
      <c r="G35" s="167">
        <f t="shared" si="5"/>
        <v>0</v>
      </c>
      <c r="H35" s="23"/>
      <c r="I35" s="23"/>
      <c r="J35" s="23"/>
      <c r="K35" s="201"/>
      <c r="L35" s="189"/>
      <c r="M35" s="196">
        <f t="shared" si="1"/>
        <v>0</v>
      </c>
      <c r="N35" s="192"/>
      <c r="O35" s="173"/>
      <c r="P35" s="173"/>
      <c r="Q35" s="173"/>
      <c r="R35" s="173">
        <f t="shared" si="2"/>
        <v>0</v>
      </c>
      <c r="S35" s="173"/>
      <c r="T35" s="173">
        <f t="shared" si="3"/>
        <v>0</v>
      </c>
      <c r="U35" s="174">
        <f t="shared" si="4"/>
        <v>0</v>
      </c>
    </row>
    <row r="36" spans="2:21" ht="30" customHeight="1" x14ac:dyDescent="0.45">
      <c r="B36" s="27">
        <v>43077</v>
      </c>
      <c r="C36" s="51"/>
      <c r="D36" s="198"/>
      <c r="E36" s="175"/>
      <c r="F36" s="175"/>
      <c r="G36" s="167">
        <f t="shared" si="5"/>
        <v>0</v>
      </c>
      <c r="H36" s="23"/>
      <c r="I36" s="23"/>
      <c r="J36" s="23"/>
      <c r="K36" s="201"/>
      <c r="L36" s="189"/>
      <c r="M36" s="196">
        <f t="shared" si="1"/>
        <v>0</v>
      </c>
      <c r="N36" s="192"/>
      <c r="O36" s="173"/>
      <c r="P36" s="173"/>
      <c r="Q36" s="173"/>
      <c r="R36" s="173">
        <f t="shared" si="2"/>
        <v>0</v>
      </c>
      <c r="S36" s="173"/>
      <c r="T36" s="173">
        <f t="shared" si="3"/>
        <v>0</v>
      </c>
      <c r="U36" s="174">
        <f t="shared" si="4"/>
        <v>0</v>
      </c>
    </row>
    <row r="37" spans="2:21" ht="30" customHeight="1" x14ac:dyDescent="0.45">
      <c r="B37" s="27">
        <v>43078</v>
      </c>
      <c r="C37" s="51"/>
      <c r="D37" s="198"/>
      <c r="E37" s="175"/>
      <c r="F37" s="175"/>
      <c r="G37" s="205">
        <f t="shared" si="5"/>
        <v>0</v>
      </c>
      <c r="H37" s="23"/>
      <c r="I37" s="23"/>
      <c r="J37" s="23"/>
      <c r="K37" s="201"/>
      <c r="L37" s="189"/>
      <c r="M37" s="196">
        <f>10*D37</f>
        <v>0</v>
      </c>
      <c r="N37" s="192"/>
      <c r="O37" s="173"/>
      <c r="P37" s="173"/>
      <c r="Q37" s="173"/>
      <c r="R37" s="173">
        <f t="shared" si="2"/>
        <v>0</v>
      </c>
      <c r="S37" s="173"/>
      <c r="T37" s="173">
        <f t="shared" si="3"/>
        <v>0</v>
      </c>
      <c r="U37" s="174">
        <f t="shared" si="4"/>
        <v>0</v>
      </c>
    </row>
    <row r="38" spans="2:21" ht="30" customHeight="1" thickBot="1" x14ac:dyDescent="0.5">
      <c r="B38" s="60">
        <v>43079</v>
      </c>
      <c r="C38" s="54"/>
      <c r="D38" s="199"/>
      <c r="E38" s="184"/>
      <c r="F38" s="184"/>
      <c r="G38" s="170">
        <f t="shared" si="5"/>
        <v>0</v>
      </c>
      <c r="H38" s="28"/>
      <c r="I38" s="28"/>
      <c r="J38" s="28"/>
      <c r="K38" s="203"/>
      <c r="L38" s="190"/>
      <c r="M38" s="197">
        <f t="shared" si="1"/>
        <v>0</v>
      </c>
      <c r="N38" s="194"/>
      <c r="O38" s="176"/>
      <c r="P38" s="176"/>
      <c r="Q38" s="176"/>
      <c r="R38" s="176">
        <f t="shared" si="2"/>
        <v>0</v>
      </c>
      <c r="S38" s="176"/>
      <c r="T38" s="176">
        <f t="shared" si="3"/>
        <v>0</v>
      </c>
      <c r="U38" s="177">
        <f t="shared" si="4"/>
        <v>0</v>
      </c>
    </row>
    <row r="39" spans="2:21" ht="30" customHeight="1" thickBot="1" x14ac:dyDescent="0.5">
      <c r="B39" s="50"/>
      <c r="C39" s="51"/>
      <c r="D39" s="51"/>
      <c r="E39" s="51"/>
      <c r="F39" s="51"/>
      <c r="G39" s="51"/>
      <c r="H39" s="51"/>
      <c r="I39" s="51"/>
      <c r="J39" s="51"/>
      <c r="K39" s="51"/>
      <c r="L39" s="178"/>
      <c r="M39" s="178"/>
      <c r="N39" s="178"/>
      <c r="O39" s="178"/>
      <c r="P39" s="178"/>
      <c r="Q39" s="178"/>
      <c r="R39" s="178"/>
      <c r="S39" s="178"/>
      <c r="T39" s="178"/>
      <c r="U39" s="179"/>
    </row>
    <row r="40" spans="2:21" ht="30" customHeight="1" thickBot="1" x14ac:dyDescent="0.5">
      <c r="B40" s="274" t="s">
        <v>12</v>
      </c>
      <c r="C40" s="275"/>
      <c r="D40" s="180">
        <f>SUM(D4:D38)</f>
        <v>13000</v>
      </c>
      <c r="E40" s="181">
        <v>75</v>
      </c>
      <c r="F40" s="180"/>
      <c r="G40" s="181">
        <f t="shared" si="5"/>
        <v>975000</v>
      </c>
      <c r="H40" s="180">
        <f>SUM(H4:H38)</f>
        <v>15000</v>
      </c>
      <c r="I40" s="180">
        <f t="shared" ref="I40:K40" si="6">SUM(I4:I38)</f>
        <v>0</v>
      </c>
      <c r="J40" s="180">
        <f t="shared" si="6"/>
        <v>0</v>
      </c>
      <c r="K40" s="180">
        <f t="shared" si="6"/>
        <v>5000</v>
      </c>
      <c r="L40" s="181">
        <f t="shared" ref="L40:Q40" si="7">SUM(L4:L38)</f>
        <v>20000</v>
      </c>
      <c r="M40" s="180">
        <f t="shared" si="7"/>
        <v>35000</v>
      </c>
      <c r="N40" s="180">
        <f t="shared" si="7"/>
        <v>15000</v>
      </c>
      <c r="O40" s="181">
        <f t="shared" si="7"/>
        <v>5000</v>
      </c>
      <c r="P40" s="180">
        <f t="shared" si="7"/>
        <v>20000</v>
      </c>
      <c r="Q40" s="180">
        <f t="shared" si="7"/>
        <v>40000</v>
      </c>
      <c r="R40" s="180">
        <f>G40+H40+I40+J40+K40+L40+M40+N40+O40+P40+Q40</f>
        <v>1130000</v>
      </c>
      <c r="S40" s="181">
        <v>100</v>
      </c>
      <c r="T40" s="180">
        <f>S40*D40</f>
        <v>1300000</v>
      </c>
      <c r="U40" s="182">
        <f>T40-R40</f>
        <v>170000</v>
      </c>
    </row>
    <row r="41" spans="2:21" ht="30" customHeight="1" x14ac:dyDescent="0.45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2:21" ht="30" customHeight="1" x14ac:dyDescent="0.45">
      <c r="B42" s="14"/>
      <c r="C42" s="17"/>
      <c r="D42" s="53"/>
      <c r="E42" s="279"/>
      <c r="F42" s="280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 spans="2:21" ht="30" customHeight="1" x14ac:dyDescent="0.45">
      <c r="B43" s="14"/>
      <c r="C43" s="187"/>
      <c r="D43" s="51"/>
      <c r="E43" s="281"/>
      <c r="F43" s="281"/>
      <c r="G43" s="51"/>
      <c r="H43" s="51"/>
      <c r="I43" s="51"/>
      <c r="J43" s="51"/>
      <c r="K43" s="51"/>
      <c r="L43" s="211"/>
      <c r="M43" s="211"/>
      <c r="N43" s="51"/>
      <c r="O43" s="51"/>
      <c r="P43" s="51"/>
      <c r="Q43" s="51"/>
      <c r="R43" s="51"/>
      <c r="S43" s="51"/>
      <c r="T43" s="51"/>
      <c r="U43" s="51"/>
    </row>
    <row r="44" spans="2:21" ht="30" customHeight="1" x14ac:dyDescent="0.3">
      <c r="O44" s="53"/>
    </row>
    <row r="45" spans="2:21" ht="30" customHeight="1" x14ac:dyDescent="0.65">
      <c r="E45" s="206" t="s">
        <v>133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</row>
    <row r="46" spans="2:21" ht="30" customHeight="1" x14ac:dyDescent="0.7">
      <c r="E46" s="186"/>
      <c r="F46" s="273" t="s">
        <v>144</v>
      </c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</row>
    <row r="47" spans="2:21" ht="30" customHeight="1" x14ac:dyDescent="0.7">
      <c r="E47" s="186"/>
      <c r="F47" s="209" t="s">
        <v>143</v>
      </c>
      <c r="G47" s="209"/>
      <c r="H47" s="209"/>
      <c r="I47" s="209"/>
      <c r="J47" s="209"/>
      <c r="K47" s="209"/>
      <c r="L47" s="209"/>
      <c r="M47" s="209"/>
      <c r="N47" s="209"/>
      <c r="O47" s="204"/>
      <c r="P47" s="204"/>
      <c r="Q47" s="204"/>
      <c r="R47" s="204"/>
      <c r="S47" s="210"/>
      <c r="T47" s="210"/>
      <c r="U47" s="210"/>
    </row>
    <row r="48" spans="2:21" ht="30" customHeight="1" x14ac:dyDescent="0.7">
      <c r="E48" s="186"/>
      <c r="F48" s="273" t="s">
        <v>145</v>
      </c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</row>
    <row r="49" spans="5:21" ht="30" customHeight="1" x14ac:dyDescent="0.7">
      <c r="E49" s="186"/>
      <c r="F49" s="273" t="s">
        <v>146</v>
      </c>
      <c r="G49" s="273"/>
      <c r="H49" s="273"/>
      <c r="I49" s="273"/>
      <c r="J49" s="273"/>
      <c r="K49" s="273"/>
      <c r="L49" s="273"/>
      <c r="M49" s="273"/>
      <c r="N49" s="273"/>
      <c r="O49" s="204"/>
      <c r="P49" s="204"/>
      <c r="Q49" s="204"/>
      <c r="R49" s="204"/>
      <c r="S49" s="210"/>
      <c r="T49" s="210"/>
      <c r="U49" s="210"/>
    </row>
    <row r="50" spans="5:21" ht="30" customHeight="1" x14ac:dyDescent="0.7">
      <c r="F50" s="273" t="s">
        <v>147</v>
      </c>
      <c r="G50" s="273"/>
      <c r="H50" s="273"/>
      <c r="I50" s="273"/>
      <c r="J50" s="273"/>
      <c r="K50" s="273"/>
      <c r="L50" s="273"/>
      <c r="M50" s="273"/>
      <c r="N50" s="273"/>
      <c r="O50" s="210"/>
      <c r="P50" s="210"/>
      <c r="Q50" s="210"/>
      <c r="R50" s="210"/>
      <c r="S50" s="210"/>
      <c r="T50" s="210"/>
      <c r="U50" s="210"/>
    </row>
    <row r="51" spans="5:21" ht="30" customHeight="1" x14ac:dyDescent="0.3"/>
    <row r="52" spans="5:21" ht="30" customHeight="1" x14ac:dyDescent="0.5">
      <c r="M52" s="212"/>
    </row>
    <row r="53" spans="5:21" ht="30" customHeight="1" x14ac:dyDescent="0.5">
      <c r="M53" s="212"/>
    </row>
    <row r="54" spans="5:21" ht="30" customHeight="1" x14ac:dyDescent="0.5">
      <c r="M54" s="212"/>
    </row>
    <row r="55" spans="5:21" ht="30" customHeight="1" x14ac:dyDescent="0.5">
      <c r="M55" s="212"/>
    </row>
    <row r="56" spans="5:21" ht="30" customHeight="1" x14ac:dyDescent="0.5">
      <c r="M56" s="212"/>
    </row>
    <row r="57" spans="5:21" ht="30" customHeight="1" x14ac:dyDescent="0.5">
      <c r="M57" s="212"/>
    </row>
    <row r="58" spans="5:21" ht="30" customHeight="1" x14ac:dyDescent="0.5">
      <c r="M58" s="212"/>
    </row>
    <row r="59" spans="5:21" ht="30" customHeight="1" x14ac:dyDescent="0.5">
      <c r="M59" s="212"/>
    </row>
    <row r="60" spans="5:21" ht="30" customHeight="1" x14ac:dyDescent="0.5">
      <c r="M60" s="212"/>
    </row>
    <row r="61" spans="5:21" ht="30" customHeight="1" x14ac:dyDescent="0.5">
      <c r="M61" s="212"/>
    </row>
    <row r="62" spans="5:21" ht="30" customHeight="1" x14ac:dyDescent="0.5">
      <c r="M62" s="212"/>
    </row>
    <row r="63" spans="5:21" ht="30" customHeight="1" x14ac:dyDescent="0.5">
      <c r="M63" s="212"/>
    </row>
    <row r="64" spans="5:21" ht="30" customHeight="1" x14ac:dyDescent="0.5">
      <c r="M64" s="212"/>
    </row>
    <row r="65" spans="13:13" ht="30" customHeight="1" x14ac:dyDescent="0.5">
      <c r="M65" s="212"/>
    </row>
    <row r="66" spans="13:13" ht="30" customHeight="1" x14ac:dyDescent="0.5">
      <c r="M66" s="212"/>
    </row>
    <row r="67" spans="13:13" ht="30" customHeight="1" x14ac:dyDescent="0.5">
      <c r="M67" s="212"/>
    </row>
    <row r="68" spans="13:13" ht="30" customHeight="1" x14ac:dyDescent="0.5">
      <c r="M68" s="212"/>
    </row>
    <row r="69" spans="13:13" ht="30" customHeight="1" x14ac:dyDescent="0.5">
      <c r="M69" s="212"/>
    </row>
    <row r="70" spans="13:13" ht="30" customHeight="1" x14ac:dyDescent="0.5">
      <c r="M70" s="212"/>
    </row>
    <row r="71" spans="13:13" ht="30" customHeight="1" x14ac:dyDescent="0.5">
      <c r="M71" s="212"/>
    </row>
    <row r="72" spans="13:13" ht="30" customHeight="1" x14ac:dyDescent="0.5">
      <c r="M72" s="212"/>
    </row>
    <row r="73" spans="13:13" ht="30" customHeight="1" x14ac:dyDescent="0.3"/>
    <row r="74" spans="13:13" ht="30" customHeight="1" x14ac:dyDescent="0.3"/>
    <row r="75" spans="13:13" ht="30" customHeight="1" x14ac:dyDescent="0.3"/>
    <row r="76" spans="13:13" ht="30" customHeight="1" x14ac:dyDescent="0.3"/>
    <row r="77" spans="13:13" ht="30" customHeight="1" x14ac:dyDescent="0.3"/>
    <row r="78" spans="13:13" ht="30" customHeight="1" x14ac:dyDescent="0.3"/>
    <row r="79" spans="13:13" ht="30" customHeight="1" x14ac:dyDescent="0.3"/>
    <row r="80" spans="13:13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</sheetData>
  <mergeCells count="9">
    <mergeCell ref="F50:N50"/>
    <mergeCell ref="F46:U46"/>
    <mergeCell ref="F48:U48"/>
    <mergeCell ref="B40:C40"/>
    <mergeCell ref="S2:U2"/>
    <mergeCell ref="B2:R2"/>
    <mergeCell ref="E42:F42"/>
    <mergeCell ref="E43:F43"/>
    <mergeCell ref="F49:N49"/>
  </mergeCells>
  <pageMargins left="0" right="0" top="0" bottom="0.75" header="0.3" footer="0.3"/>
  <pageSetup scale="4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133"/>
  <sheetViews>
    <sheetView tabSelected="1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F4" sqref="F4"/>
    </sheetView>
  </sheetViews>
  <sheetFormatPr defaultRowHeight="14.4" x14ac:dyDescent="0.3"/>
  <cols>
    <col min="2" max="2" width="45.6640625" bestFit="1" customWidth="1"/>
    <col min="3" max="3" width="13" customWidth="1"/>
    <col min="4" max="4" width="13.88671875" bestFit="1" customWidth="1"/>
    <col min="5" max="5" width="13.88671875" customWidth="1"/>
    <col min="6" max="8" width="13.33203125" customWidth="1"/>
    <col min="9" max="13" width="12.88671875" customWidth="1"/>
    <col min="14" max="14" width="19" bestFit="1" customWidth="1"/>
    <col min="15" max="15" width="13.5546875" customWidth="1"/>
    <col min="16" max="16" width="14.33203125" customWidth="1"/>
    <col min="17" max="19" width="13.88671875" bestFit="1" customWidth="1"/>
    <col min="20" max="20" width="15.88671875" customWidth="1"/>
    <col min="21" max="21" width="14.5546875" bestFit="1" customWidth="1"/>
    <col min="22" max="22" width="17.6640625" customWidth="1"/>
    <col min="23" max="24" width="15.109375" customWidth="1"/>
    <col min="25" max="28" width="14.6640625" customWidth="1"/>
    <col min="29" max="29" width="18.5546875" bestFit="1" customWidth="1"/>
    <col min="30" max="30" width="14" customWidth="1"/>
    <col min="31" max="31" width="18.5546875" bestFit="1" customWidth="1"/>
    <col min="32" max="32" width="17.109375" bestFit="1" customWidth="1"/>
  </cols>
  <sheetData>
    <row r="1" spans="2:33" ht="30" customHeight="1" thickBot="1" x14ac:dyDescent="0.45">
      <c r="O1" s="61"/>
      <c r="P1" s="61"/>
      <c r="Q1" s="61"/>
      <c r="R1" s="61"/>
      <c r="S1" s="61"/>
      <c r="T1" s="61"/>
      <c r="U1" s="61"/>
      <c r="V1" s="61"/>
      <c r="W1" s="61"/>
      <c r="X1" s="61"/>
      <c r="Y1" s="62"/>
      <c r="Z1" s="62"/>
      <c r="AA1" s="62"/>
      <c r="AB1" s="62"/>
      <c r="AC1" s="62"/>
      <c r="AD1" s="62"/>
    </row>
    <row r="2" spans="2:33" ht="30" customHeight="1" x14ac:dyDescent="0.3">
      <c r="B2" s="286" t="s">
        <v>171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8"/>
    </row>
    <row r="3" spans="2:33" ht="58.5" customHeight="1" x14ac:dyDescent="0.3">
      <c r="B3" s="298" t="s">
        <v>0</v>
      </c>
      <c r="C3" s="298" t="s">
        <v>1</v>
      </c>
      <c r="D3" s="298" t="s">
        <v>2</v>
      </c>
      <c r="E3" s="305" t="s">
        <v>185</v>
      </c>
      <c r="F3" s="299" t="s">
        <v>137</v>
      </c>
      <c r="G3" s="299" t="s">
        <v>184</v>
      </c>
      <c r="H3" s="299" t="s">
        <v>183</v>
      </c>
      <c r="I3" s="299" t="s">
        <v>138</v>
      </c>
      <c r="J3" s="299" t="s">
        <v>179</v>
      </c>
      <c r="K3" s="299" t="s">
        <v>180</v>
      </c>
      <c r="L3" s="299" t="s">
        <v>182</v>
      </c>
      <c r="M3" s="299" t="s">
        <v>181</v>
      </c>
      <c r="N3" s="298" t="s">
        <v>3</v>
      </c>
      <c r="O3" s="298" t="s">
        <v>8</v>
      </c>
      <c r="P3" s="298" t="s">
        <v>173</v>
      </c>
      <c r="Q3" s="298" t="s">
        <v>135</v>
      </c>
      <c r="R3" s="298" t="s">
        <v>136</v>
      </c>
      <c r="S3" s="298" t="s">
        <v>11</v>
      </c>
      <c r="T3" s="298" t="s">
        <v>9</v>
      </c>
      <c r="U3" s="300" t="s">
        <v>139</v>
      </c>
      <c r="V3" s="298" t="s">
        <v>140</v>
      </c>
      <c r="W3" s="299" t="s">
        <v>141</v>
      </c>
      <c r="X3" s="299" t="s">
        <v>174</v>
      </c>
      <c r="Y3" s="298" t="s">
        <v>13</v>
      </c>
      <c r="Z3" s="298" t="s">
        <v>175</v>
      </c>
      <c r="AA3" s="298" t="s">
        <v>176</v>
      </c>
      <c r="AB3" s="298" t="s">
        <v>177</v>
      </c>
      <c r="AC3" s="298" t="s">
        <v>12</v>
      </c>
      <c r="AD3" s="299" t="s">
        <v>142</v>
      </c>
      <c r="AE3" s="298" t="s">
        <v>12</v>
      </c>
      <c r="AF3" s="298" t="s">
        <v>15</v>
      </c>
      <c r="AG3" s="1"/>
    </row>
    <row r="4" spans="2:33" ht="30" customHeight="1" x14ac:dyDescent="0.45">
      <c r="B4" s="259">
        <v>45931</v>
      </c>
      <c r="C4" s="230">
        <v>1</v>
      </c>
      <c r="D4" s="303">
        <v>10000</v>
      </c>
      <c r="E4" s="303">
        <f>F4+G4+H4+I4+J4+K4+L4+M4</f>
        <v>267</v>
      </c>
      <c r="F4" s="304">
        <v>140</v>
      </c>
      <c r="G4" s="304">
        <v>22</v>
      </c>
      <c r="H4" s="304">
        <v>15</v>
      </c>
      <c r="I4" s="304">
        <v>15</v>
      </c>
      <c r="J4" s="304">
        <v>11</v>
      </c>
      <c r="K4" s="304">
        <v>6</v>
      </c>
      <c r="L4" s="304">
        <v>40</v>
      </c>
      <c r="M4" s="304">
        <v>18</v>
      </c>
      <c r="N4" s="173">
        <f>D4*E4</f>
        <v>2670000</v>
      </c>
      <c r="O4" s="173">
        <v>20000</v>
      </c>
      <c r="P4" s="175">
        <v>5000</v>
      </c>
      <c r="Q4" s="173"/>
      <c r="R4" s="173">
        <v>500</v>
      </c>
      <c r="S4" s="173"/>
      <c r="T4" s="173"/>
      <c r="U4" s="173"/>
      <c r="V4" s="173">
        <v>1000</v>
      </c>
      <c r="W4" s="173">
        <v>16000</v>
      </c>
      <c r="X4" s="173"/>
      <c r="Y4" s="173"/>
      <c r="Z4" s="173"/>
      <c r="AA4" s="173"/>
      <c r="AB4" s="173"/>
      <c r="AC4" s="173">
        <f>N4+O4+P4+Q4+R4+S4+T4+U4+V4+W4+X4+Y4+Z4+AA4+AB4</f>
        <v>2712500</v>
      </c>
      <c r="AD4" s="173">
        <v>330</v>
      </c>
      <c r="AE4" s="173">
        <f>AD4*D4</f>
        <v>3300000</v>
      </c>
      <c r="AF4" s="173">
        <f>AE4-AC4</f>
        <v>587500</v>
      </c>
      <c r="AG4" s="1"/>
    </row>
    <row r="5" spans="2:33" ht="30" customHeight="1" x14ac:dyDescent="0.45">
      <c r="B5" s="259">
        <f>B4+1</f>
        <v>45932</v>
      </c>
      <c r="C5" s="165">
        <v>1</v>
      </c>
      <c r="D5" s="198">
        <v>2000</v>
      </c>
      <c r="E5" s="198"/>
      <c r="F5" s="173">
        <v>54</v>
      </c>
      <c r="G5" s="173"/>
      <c r="H5" s="173"/>
      <c r="I5" s="173"/>
      <c r="J5" s="173"/>
      <c r="K5" s="173"/>
      <c r="L5" s="173"/>
      <c r="M5" s="173"/>
      <c r="N5" s="173">
        <f t="shared" ref="N5:N10" si="0">D5*(F5+I5)</f>
        <v>108000</v>
      </c>
      <c r="O5" s="165"/>
      <c r="P5" s="165"/>
      <c r="Q5" s="165">
        <v>16000</v>
      </c>
      <c r="R5" s="165"/>
      <c r="S5" s="173"/>
      <c r="T5" s="173"/>
      <c r="U5" s="173"/>
      <c r="V5" s="173"/>
      <c r="W5" s="173">
        <v>16000</v>
      </c>
      <c r="X5" s="173"/>
      <c r="Y5" s="173"/>
      <c r="Z5" s="173"/>
      <c r="AA5" s="173"/>
      <c r="AB5" s="173"/>
      <c r="AC5" s="173">
        <f t="shared" ref="AC5:AC33" si="1">N5+O5+P5+Q5+R5+S5+T5+U5+V5+W5+X5+Y5+Z5+AA5+AB5</f>
        <v>140000</v>
      </c>
      <c r="AD5" s="173">
        <v>82</v>
      </c>
      <c r="AE5" s="173">
        <f t="shared" ref="AE4:AE34" si="2">AD5*D5</f>
        <v>164000</v>
      </c>
      <c r="AF5" s="173">
        <f t="shared" ref="AF5:AF34" si="3">AE5-AC5</f>
        <v>24000</v>
      </c>
      <c r="AG5" s="1"/>
    </row>
    <row r="6" spans="2:33" ht="30" customHeight="1" x14ac:dyDescent="0.45">
      <c r="B6" s="259">
        <f t="shared" ref="B6:B34" si="4">B5+1</f>
        <v>45933</v>
      </c>
      <c r="C6" s="165">
        <v>1</v>
      </c>
      <c r="D6" s="198">
        <v>2000</v>
      </c>
      <c r="E6" s="198"/>
      <c r="F6" s="173">
        <v>54</v>
      </c>
      <c r="G6" s="173"/>
      <c r="H6" s="173"/>
      <c r="I6" s="173"/>
      <c r="J6" s="173"/>
      <c r="K6" s="173"/>
      <c r="L6" s="173"/>
      <c r="M6" s="173"/>
      <c r="N6" s="266">
        <f t="shared" si="0"/>
        <v>108000</v>
      </c>
      <c r="O6" s="17"/>
      <c r="P6" s="17"/>
      <c r="Q6" s="17"/>
      <c r="R6" s="17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>
        <f t="shared" si="1"/>
        <v>108000</v>
      </c>
      <c r="AD6" s="173">
        <v>82</v>
      </c>
      <c r="AE6" s="173">
        <f t="shared" si="2"/>
        <v>164000</v>
      </c>
      <c r="AF6" s="173">
        <f t="shared" si="3"/>
        <v>56000</v>
      </c>
      <c r="AG6" s="1"/>
    </row>
    <row r="7" spans="2:33" ht="30" customHeight="1" x14ac:dyDescent="0.45">
      <c r="B7" s="259">
        <f t="shared" si="4"/>
        <v>45934</v>
      </c>
      <c r="C7" s="165">
        <v>1</v>
      </c>
      <c r="D7" s="198">
        <v>2000</v>
      </c>
      <c r="E7" s="198"/>
      <c r="F7" s="173">
        <v>54</v>
      </c>
      <c r="G7" s="173"/>
      <c r="H7" s="173"/>
      <c r="I7" s="173"/>
      <c r="J7" s="173"/>
      <c r="K7" s="173"/>
      <c r="L7" s="173"/>
      <c r="M7" s="173"/>
      <c r="N7" s="266">
        <f t="shared" si="0"/>
        <v>108000</v>
      </c>
      <c r="O7" s="17"/>
      <c r="P7" s="17"/>
      <c r="Q7" s="17"/>
      <c r="R7" s="17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>
        <f>N7+O7+P7+Q7+R7+S7+T7+U7+V7+W7+X7+Y7+Z7+AA7+AB7</f>
        <v>108000</v>
      </c>
      <c r="AD7" s="173">
        <v>82</v>
      </c>
      <c r="AE7" s="173">
        <f t="shared" si="2"/>
        <v>164000</v>
      </c>
      <c r="AF7" s="173">
        <f t="shared" si="3"/>
        <v>56000</v>
      </c>
      <c r="AG7" s="1"/>
    </row>
    <row r="8" spans="2:33" ht="30" customHeight="1" x14ac:dyDescent="0.45">
      <c r="B8" s="259">
        <f t="shared" si="4"/>
        <v>45935</v>
      </c>
      <c r="C8" s="165">
        <v>1</v>
      </c>
      <c r="D8" s="198">
        <v>2000</v>
      </c>
      <c r="E8" s="198"/>
      <c r="F8" s="173">
        <v>54</v>
      </c>
      <c r="G8" s="173"/>
      <c r="H8" s="173"/>
      <c r="I8" s="173"/>
      <c r="J8" s="173"/>
      <c r="K8" s="173"/>
      <c r="L8" s="173"/>
      <c r="M8" s="173"/>
      <c r="N8" s="266">
        <f t="shared" si="0"/>
        <v>108000</v>
      </c>
      <c r="O8" s="17"/>
      <c r="P8" s="17"/>
      <c r="Q8" s="17"/>
      <c r="R8" s="17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>
        <f t="shared" si="1"/>
        <v>108000</v>
      </c>
      <c r="AD8" s="173">
        <v>82</v>
      </c>
      <c r="AE8" s="173">
        <f t="shared" si="2"/>
        <v>164000</v>
      </c>
      <c r="AF8" s="173">
        <f t="shared" si="3"/>
        <v>56000</v>
      </c>
      <c r="AG8" s="1"/>
    </row>
    <row r="9" spans="2:33" ht="30" customHeight="1" x14ac:dyDescent="0.45">
      <c r="B9" s="259">
        <f t="shared" si="4"/>
        <v>45936</v>
      </c>
      <c r="C9" s="165"/>
      <c r="D9" s="198">
        <v>2000</v>
      </c>
      <c r="E9" s="198"/>
      <c r="F9" s="173">
        <v>54</v>
      </c>
      <c r="G9" s="173"/>
      <c r="H9" s="173"/>
      <c r="I9" s="173"/>
      <c r="J9" s="173"/>
      <c r="K9" s="173"/>
      <c r="L9" s="173"/>
      <c r="M9" s="173"/>
      <c r="N9" s="266">
        <f t="shared" si="0"/>
        <v>108000</v>
      </c>
      <c r="O9" s="17"/>
      <c r="P9" s="17"/>
      <c r="Q9" s="17"/>
      <c r="R9" s="17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>
        <f t="shared" si="1"/>
        <v>108000</v>
      </c>
      <c r="AD9" s="173">
        <v>82</v>
      </c>
      <c r="AE9" s="173">
        <f t="shared" si="2"/>
        <v>164000</v>
      </c>
      <c r="AF9" s="173">
        <f t="shared" si="3"/>
        <v>56000</v>
      </c>
      <c r="AG9" s="1"/>
    </row>
    <row r="10" spans="2:33" ht="30" customHeight="1" x14ac:dyDescent="0.45">
      <c r="B10" s="260">
        <f t="shared" si="4"/>
        <v>45937</v>
      </c>
      <c r="C10" s="165">
        <v>1</v>
      </c>
      <c r="D10" s="198"/>
      <c r="E10" s="198"/>
      <c r="F10" s="173"/>
      <c r="G10" s="173"/>
      <c r="H10" s="173"/>
      <c r="I10" s="173"/>
      <c r="J10" s="173"/>
      <c r="K10" s="173"/>
      <c r="L10" s="173"/>
      <c r="M10" s="173"/>
      <c r="N10" s="266">
        <f t="shared" si="0"/>
        <v>0</v>
      </c>
      <c r="O10" s="165"/>
      <c r="P10" s="165"/>
      <c r="Q10" s="165"/>
      <c r="R10" s="165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>
        <f t="shared" si="1"/>
        <v>0</v>
      </c>
      <c r="AD10" s="173"/>
      <c r="AE10" s="173">
        <f t="shared" si="2"/>
        <v>0</v>
      </c>
      <c r="AF10" s="173">
        <f t="shared" si="3"/>
        <v>0</v>
      </c>
      <c r="AG10" s="1"/>
    </row>
    <row r="11" spans="2:33" ht="30" customHeight="1" x14ac:dyDescent="0.45">
      <c r="B11" s="259">
        <f t="shared" si="4"/>
        <v>45938</v>
      </c>
      <c r="C11" s="165">
        <v>1</v>
      </c>
      <c r="D11" s="198">
        <v>2000</v>
      </c>
      <c r="E11" s="198"/>
      <c r="F11" s="173">
        <v>54</v>
      </c>
      <c r="G11" s="173"/>
      <c r="H11" s="173"/>
      <c r="I11" s="173"/>
      <c r="J11" s="173"/>
      <c r="K11" s="173"/>
      <c r="L11" s="173"/>
      <c r="M11" s="173"/>
      <c r="N11" s="266">
        <f>D11*(F11+I11)</f>
        <v>108000</v>
      </c>
      <c r="O11" s="17"/>
      <c r="P11" s="17"/>
      <c r="Q11" s="17"/>
      <c r="R11" s="17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>
        <f t="shared" si="1"/>
        <v>108000</v>
      </c>
      <c r="AD11" s="173">
        <v>82</v>
      </c>
      <c r="AE11" s="173">
        <f t="shared" si="2"/>
        <v>164000</v>
      </c>
      <c r="AF11" s="173">
        <f t="shared" si="3"/>
        <v>56000</v>
      </c>
      <c r="AG11" s="1"/>
    </row>
    <row r="12" spans="2:33" ht="30" customHeight="1" x14ac:dyDescent="0.45">
      <c r="B12" s="259">
        <f t="shared" si="4"/>
        <v>45939</v>
      </c>
      <c r="C12" s="165">
        <v>1</v>
      </c>
      <c r="D12" s="198">
        <v>2000</v>
      </c>
      <c r="E12" s="198"/>
      <c r="F12" s="173">
        <v>54</v>
      </c>
      <c r="G12" s="173"/>
      <c r="H12" s="173"/>
      <c r="I12" s="173"/>
      <c r="J12" s="173"/>
      <c r="K12" s="173"/>
      <c r="L12" s="173"/>
      <c r="M12" s="173"/>
      <c r="N12" s="266">
        <f t="shared" ref="N12:N36" si="5">D12*(F12+I12)</f>
        <v>108000</v>
      </c>
      <c r="O12" s="17"/>
      <c r="P12" s="17"/>
      <c r="Q12" s="17"/>
      <c r="R12" s="17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>
        <f t="shared" si="1"/>
        <v>108000</v>
      </c>
      <c r="AD12" s="173">
        <v>82</v>
      </c>
      <c r="AE12" s="173">
        <f t="shared" si="2"/>
        <v>164000</v>
      </c>
      <c r="AF12" s="173">
        <f t="shared" si="3"/>
        <v>56000</v>
      </c>
      <c r="AG12" s="1"/>
    </row>
    <row r="13" spans="2:33" s="26" customFormat="1" ht="30" customHeight="1" x14ac:dyDescent="0.45">
      <c r="B13" s="259">
        <f t="shared" si="4"/>
        <v>45940</v>
      </c>
      <c r="C13" s="171">
        <v>1</v>
      </c>
      <c r="D13" s="198">
        <v>2000</v>
      </c>
      <c r="E13" s="198"/>
      <c r="F13" s="173">
        <v>54</v>
      </c>
      <c r="G13" s="173"/>
      <c r="H13" s="173"/>
      <c r="I13" s="175"/>
      <c r="J13" s="175"/>
      <c r="K13" s="175"/>
      <c r="L13" s="175"/>
      <c r="M13" s="175"/>
      <c r="N13" s="267">
        <f t="shared" si="5"/>
        <v>108000</v>
      </c>
      <c r="O13" s="23"/>
      <c r="P13" s="23"/>
      <c r="Q13" s="23"/>
      <c r="R13" s="23"/>
      <c r="S13" s="173"/>
      <c r="T13" s="173"/>
      <c r="U13" s="175"/>
      <c r="V13" s="173"/>
      <c r="W13" s="173"/>
      <c r="X13" s="173"/>
      <c r="Y13" s="173"/>
      <c r="Z13" s="173"/>
      <c r="AA13" s="173"/>
      <c r="AB13" s="173"/>
      <c r="AC13" s="173">
        <f t="shared" si="1"/>
        <v>108000</v>
      </c>
      <c r="AD13" s="173">
        <v>82</v>
      </c>
      <c r="AE13" s="173">
        <f t="shared" si="2"/>
        <v>164000</v>
      </c>
      <c r="AF13" s="173">
        <f t="shared" si="3"/>
        <v>56000</v>
      </c>
      <c r="AG13" s="301"/>
    </row>
    <row r="14" spans="2:33" ht="30" customHeight="1" x14ac:dyDescent="0.45">
      <c r="B14" s="259">
        <f t="shared" si="4"/>
        <v>45941</v>
      </c>
      <c r="C14" s="165">
        <v>1</v>
      </c>
      <c r="D14" s="198">
        <v>2000</v>
      </c>
      <c r="E14" s="198"/>
      <c r="F14" s="173">
        <v>54</v>
      </c>
      <c r="G14" s="173"/>
      <c r="H14" s="173"/>
      <c r="I14" s="175"/>
      <c r="J14" s="175"/>
      <c r="K14" s="175"/>
      <c r="L14" s="175"/>
      <c r="M14" s="175"/>
      <c r="N14" s="267">
        <f t="shared" si="5"/>
        <v>108000</v>
      </c>
      <c r="O14" s="23"/>
      <c r="P14" s="23"/>
      <c r="Q14" s="23"/>
      <c r="R14" s="2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>
        <f t="shared" si="1"/>
        <v>108000</v>
      </c>
      <c r="AD14" s="173">
        <v>82</v>
      </c>
      <c r="AE14" s="173">
        <f t="shared" si="2"/>
        <v>164000</v>
      </c>
      <c r="AF14" s="173">
        <f t="shared" si="3"/>
        <v>56000</v>
      </c>
      <c r="AG14" s="1"/>
    </row>
    <row r="15" spans="2:33" ht="30" customHeight="1" x14ac:dyDescent="0.45">
      <c r="B15" s="259">
        <f t="shared" si="4"/>
        <v>45942</v>
      </c>
      <c r="C15" s="165">
        <v>1</v>
      </c>
      <c r="D15" s="198">
        <v>2000</v>
      </c>
      <c r="E15" s="198"/>
      <c r="F15" s="173">
        <v>54</v>
      </c>
      <c r="G15" s="173"/>
      <c r="H15" s="173"/>
      <c r="I15" s="175"/>
      <c r="J15" s="175"/>
      <c r="K15" s="175"/>
      <c r="L15" s="175"/>
      <c r="M15" s="175"/>
      <c r="N15" s="266">
        <f t="shared" si="5"/>
        <v>108000</v>
      </c>
      <c r="O15" s="23"/>
      <c r="P15" s="23"/>
      <c r="Q15" s="23"/>
      <c r="R15" s="2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>
        <f t="shared" si="1"/>
        <v>108000</v>
      </c>
      <c r="AD15" s="173">
        <v>82</v>
      </c>
      <c r="AE15" s="173">
        <f t="shared" si="2"/>
        <v>164000</v>
      </c>
      <c r="AF15" s="173">
        <f t="shared" si="3"/>
        <v>56000</v>
      </c>
      <c r="AG15" s="1"/>
    </row>
    <row r="16" spans="2:33" ht="30" customHeight="1" x14ac:dyDescent="0.45">
      <c r="B16" s="259">
        <f t="shared" si="4"/>
        <v>45943</v>
      </c>
      <c r="C16" s="165">
        <v>1</v>
      </c>
      <c r="D16" s="198">
        <v>2000</v>
      </c>
      <c r="E16" s="198"/>
      <c r="F16" s="173">
        <v>54</v>
      </c>
      <c r="G16" s="173"/>
      <c r="H16" s="173"/>
      <c r="I16" s="175"/>
      <c r="J16" s="175"/>
      <c r="K16" s="175"/>
      <c r="L16" s="175"/>
      <c r="M16" s="175"/>
      <c r="N16" s="266">
        <f t="shared" si="5"/>
        <v>108000</v>
      </c>
      <c r="O16" s="23"/>
      <c r="P16" s="23"/>
      <c r="Q16" s="23"/>
      <c r="R16" s="2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>
        <f t="shared" si="1"/>
        <v>108000</v>
      </c>
      <c r="AD16" s="173">
        <v>82</v>
      </c>
      <c r="AE16" s="173">
        <f t="shared" si="2"/>
        <v>164000</v>
      </c>
      <c r="AF16" s="173">
        <f t="shared" si="3"/>
        <v>56000</v>
      </c>
      <c r="AG16" s="1"/>
    </row>
    <row r="17" spans="2:33" s="26" customFormat="1" ht="30" customHeight="1" x14ac:dyDescent="0.45">
      <c r="B17" s="260">
        <f t="shared" si="4"/>
        <v>45944</v>
      </c>
      <c r="C17" s="171">
        <v>1</v>
      </c>
      <c r="D17" s="198"/>
      <c r="E17" s="198"/>
      <c r="F17" s="173"/>
      <c r="G17" s="173"/>
      <c r="H17" s="173"/>
      <c r="I17" s="175"/>
      <c r="J17" s="175"/>
      <c r="K17" s="175"/>
      <c r="L17" s="175"/>
      <c r="M17" s="175"/>
      <c r="N17" s="266">
        <f t="shared" si="5"/>
        <v>0</v>
      </c>
      <c r="O17" s="23"/>
      <c r="P17" s="23"/>
      <c r="Q17" s="23"/>
      <c r="R17" s="23"/>
      <c r="S17" s="173"/>
      <c r="T17" s="173"/>
      <c r="U17" s="175"/>
      <c r="V17" s="173"/>
      <c r="W17" s="173"/>
      <c r="X17" s="173"/>
      <c r="Y17" s="173"/>
      <c r="Z17" s="173"/>
      <c r="AA17" s="173"/>
      <c r="AB17" s="173"/>
      <c r="AC17" s="173">
        <f t="shared" si="1"/>
        <v>0</v>
      </c>
      <c r="AD17" s="173"/>
      <c r="AE17" s="173">
        <f t="shared" si="2"/>
        <v>0</v>
      </c>
      <c r="AF17" s="173">
        <f t="shared" si="3"/>
        <v>0</v>
      </c>
      <c r="AG17" s="301"/>
    </row>
    <row r="18" spans="2:33" ht="30" customHeight="1" x14ac:dyDescent="0.45">
      <c r="B18" s="259">
        <f t="shared" si="4"/>
        <v>45945</v>
      </c>
      <c r="C18" s="165">
        <v>1</v>
      </c>
      <c r="D18" s="198">
        <v>2000</v>
      </c>
      <c r="E18" s="198"/>
      <c r="F18" s="173">
        <v>54</v>
      </c>
      <c r="G18" s="173"/>
      <c r="H18" s="173"/>
      <c r="I18" s="175"/>
      <c r="J18" s="175"/>
      <c r="K18" s="175"/>
      <c r="L18" s="175"/>
      <c r="M18" s="175"/>
      <c r="N18" s="266">
        <f t="shared" si="5"/>
        <v>108000</v>
      </c>
      <c r="O18" s="23"/>
      <c r="P18" s="23"/>
      <c r="Q18" s="23"/>
      <c r="R18" s="2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>
        <f t="shared" si="1"/>
        <v>108000</v>
      </c>
      <c r="AD18" s="173">
        <v>82</v>
      </c>
      <c r="AE18" s="173">
        <f t="shared" si="2"/>
        <v>164000</v>
      </c>
      <c r="AF18" s="173">
        <f t="shared" si="3"/>
        <v>56000</v>
      </c>
      <c r="AG18" s="1"/>
    </row>
    <row r="19" spans="2:33" ht="30" customHeight="1" x14ac:dyDescent="0.45">
      <c r="B19" s="259">
        <f t="shared" si="4"/>
        <v>45946</v>
      </c>
      <c r="C19" s="165"/>
      <c r="D19" s="198">
        <v>2000</v>
      </c>
      <c r="E19" s="198"/>
      <c r="F19" s="173">
        <v>54</v>
      </c>
      <c r="G19" s="173"/>
      <c r="H19" s="173"/>
      <c r="I19" s="175"/>
      <c r="J19" s="175"/>
      <c r="K19" s="175"/>
      <c r="L19" s="175"/>
      <c r="M19" s="175"/>
      <c r="N19" s="266">
        <f t="shared" si="5"/>
        <v>108000</v>
      </c>
      <c r="O19" s="23"/>
      <c r="P19" s="23"/>
      <c r="Q19" s="23"/>
      <c r="R19" s="2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>
        <f t="shared" si="1"/>
        <v>108000</v>
      </c>
      <c r="AD19" s="173">
        <v>82</v>
      </c>
      <c r="AE19" s="173">
        <f t="shared" si="2"/>
        <v>164000</v>
      </c>
      <c r="AF19" s="173">
        <f t="shared" si="3"/>
        <v>56000</v>
      </c>
      <c r="AG19" s="1"/>
    </row>
    <row r="20" spans="2:33" ht="30" customHeight="1" x14ac:dyDescent="0.45">
      <c r="B20" s="259">
        <f t="shared" si="4"/>
        <v>45947</v>
      </c>
      <c r="C20" s="17"/>
      <c r="D20" s="198">
        <v>2000</v>
      </c>
      <c r="E20" s="198"/>
      <c r="F20" s="173">
        <v>54</v>
      </c>
      <c r="G20" s="173"/>
      <c r="H20" s="173"/>
      <c r="I20" s="175"/>
      <c r="J20" s="175"/>
      <c r="K20" s="175"/>
      <c r="L20" s="175"/>
      <c r="M20" s="175"/>
      <c r="N20" s="266">
        <f t="shared" si="5"/>
        <v>108000</v>
      </c>
      <c r="O20" s="23"/>
      <c r="P20" s="23"/>
      <c r="Q20" s="23"/>
      <c r="R20" s="2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>
        <f t="shared" si="1"/>
        <v>108000</v>
      </c>
      <c r="AD20" s="173">
        <v>82</v>
      </c>
      <c r="AE20" s="173">
        <f t="shared" si="2"/>
        <v>164000</v>
      </c>
      <c r="AF20" s="173">
        <f t="shared" si="3"/>
        <v>56000</v>
      </c>
      <c r="AG20" s="1"/>
    </row>
    <row r="21" spans="2:33" ht="30" customHeight="1" x14ac:dyDescent="0.45">
      <c r="B21" s="259">
        <f t="shared" si="4"/>
        <v>45948</v>
      </c>
      <c r="C21" s="17"/>
      <c r="D21" s="198">
        <v>2000</v>
      </c>
      <c r="E21" s="198"/>
      <c r="F21" s="173">
        <v>54</v>
      </c>
      <c r="G21" s="173"/>
      <c r="H21" s="173"/>
      <c r="I21" s="175"/>
      <c r="J21" s="175"/>
      <c r="K21" s="175"/>
      <c r="L21" s="175"/>
      <c r="M21" s="175"/>
      <c r="N21" s="266">
        <f t="shared" si="5"/>
        <v>108000</v>
      </c>
      <c r="O21" s="23"/>
      <c r="P21" s="23"/>
      <c r="Q21" s="23"/>
      <c r="R21" s="2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>
        <f t="shared" si="1"/>
        <v>108000</v>
      </c>
      <c r="AD21" s="173">
        <v>82</v>
      </c>
      <c r="AE21" s="173">
        <f t="shared" si="2"/>
        <v>164000</v>
      </c>
      <c r="AF21" s="173">
        <f t="shared" si="3"/>
        <v>56000</v>
      </c>
      <c r="AG21" s="1"/>
    </row>
    <row r="22" spans="2:33" ht="30" customHeight="1" x14ac:dyDescent="0.45">
      <c r="B22" s="259">
        <f t="shared" si="4"/>
        <v>45949</v>
      </c>
      <c r="C22" s="17"/>
      <c r="D22" s="198">
        <v>2000</v>
      </c>
      <c r="E22" s="198"/>
      <c r="F22" s="173">
        <v>54</v>
      </c>
      <c r="G22" s="173"/>
      <c r="H22" s="173"/>
      <c r="I22" s="175"/>
      <c r="J22" s="175"/>
      <c r="K22" s="175"/>
      <c r="L22" s="175"/>
      <c r="M22" s="175"/>
      <c r="N22" s="266">
        <f t="shared" si="5"/>
        <v>108000</v>
      </c>
      <c r="O22" s="23"/>
      <c r="P22" s="23"/>
      <c r="Q22" s="23"/>
      <c r="R22" s="2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>
        <f t="shared" si="1"/>
        <v>108000</v>
      </c>
      <c r="AD22" s="173">
        <v>82</v>
      </c>
      <c r="AE22" s="173">
        <f t="shared" si="2"/>
        <v>164000</v>
      </c>
      <c r="AF22" s="173">
        <f t="shared" si="3"/>
        <v>56000</v>
      </c>
      <c r="AG22" s="1"/>
    </row>
    <row r="23" spans="2:33" ht="30" customHeight="1" x14ac:dyDescent="0.45">
      <c r="B23" s="259">
        <f t="shared" si="4"/>
        <v>45950</v>
      </c>
      <c r="C23" s="17"/>
      <c r="D23" s="198">
        <v>2000</v>
      </c>
      <c r="E23" s="198"/>
      <c r="F23" s="173">
        <v>54</v>
      </c>
      <c r="G23" s="173"/>
      <c r="H23" s="173"/>
      <c r="I23" s="175"/>
      <c r="J23" s="175"/>
      <c r="K23" s="175"/>
      <c r="L23" s="175"/>
      <c r="M23" s="175"/>
      <c r="N23" s="266">
        <f t="shared" si="5"/>
        <v>108000</v>
      </c>
      <c r="O23" s="23"/>
      <c r="P23" s="23"/>
      <c r="Q23" s="23"/>
      <c r="R23" s="2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>
        <f t="shared" si="1"/>
        <v>108000</v>
      </c>
      <c r="AD23" s="173">
        <v>82</v>
      </c>
      <c r="AE23" s="173">
        <f t="shared" si="2"/>
        <v>164000</v>
      </c>
      <c r="AF23" s="173">
        <f t="shared" si="3"/>
        <v>56000</v>
      </c>
      <c r="AG23" s="1"/>
    </row>
    <row r="24" spans="2:33" s="26" customFormat="1" ht="30" customHeight="1" x14ac:dyDescent="0.45">
      <c r="B24" s="260">
        <f t="shared" si="4"/>
        <v>45951</v>
      </c>
      <c r="C24" s="23"/>
      <c r="D24" s="198"/>
      <c r="E24" s="198"/>
      <c r="F24" s="173"/>
      <c r="G24" s="173"/>
      <c r="H24" s="173"/>
      <c r="I24" s="175"/>
      <c r="J24" s="175"/>
      <c r="K24" s="175"/>
      <c r="L24" s="175"/>
      <c r="M24" s="175"/>
      <c r="N24" s="267">
        <f t="shared" si="5"/>
        <v>0</v>
      </c>
      <c r="O24" s="23"/>
      <c r="P24" s="23"/>
      <c r="Q24" s="23"/>
      <c r="R24" s="23"/>
      <c r="S24" s="173"/>
      <c r="T24" s="173"/>
      <c r="U24" s="175"/>
      <c r="V24" s="173"/>
      <c r="W24" s="173"/>
      <c r="X24" s="173"/>
      <c r="Y24" s="173"/>
      <c r="Z24" s="173"/>
      <c r="AA24" s="173"/>
      <c r="AB24" s="173"/>
      <c r="AC24" s="173">
        <f t="shared" si="1"/>
        <v>0</v>
      </c>
      <c r="AD24" s="173">
        <v>165</v>
      </c>
      <c r="AE24" s="173">
        <f t="shared" si="2"/>
        <v>0</v>
      </c>
      <c r="AF24" s="173">
        <f t="shared" si="3"/>
        <v>0</v>
      </c>
      <c r="AG24" s="301"/>
    </row>
    <row r="25" spans="2:33" ht="30" customHeight="1" x14ac:dyDescent="0.45">
      <c r="B25" s="259">
        <f t="shared" si="4"/>
        <v>45952</v>
      </c>
      <c r="C25" s="17"/>
      <c r="D25" s="198">
        <v>2000</v>
      </c>
      <c r="E25" s="198"/>
      <c r="F25" s="173">
        <v>54</v>
      </c>
      <c r="G25" s="173"/>
      <c r="H25" s="173"/>
      <c r="I25" s="175"/>
      <c r="J25" s="175"/>
      <c r="K25" s="175"/>
      <c r="L25" s="175"/>
      <c r="M25" s="175"/>
      <c r="N25" s="266">
        <f t="shared" si="5"/>
        <v>108000</v>
      </c>
      <c r="O25" s="23"/>
      <c r="P25" s="23"/>
      <c r="Q25" s="23"/>
      <c r="R25" s="2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>
        <f t="shared" si="1"/>
        <v>108000</v>
      </c>
      <c r="AD25" s="173">
        <v>82</v>
      </c>
      <c r="AE25" s="173">
        <f t="shared" si="2"/>
        <v>164000</v>
      </c>
      <c r="AF25" s="173">
        <f t="shared" si="3"/>
        <v>56000</v>
      </c>
      <c r="AG25" s="1"/>
    </row>
    <row r="26" spans="2:33" ht="30" customHeight="1" x14ac:dyDescent="0.45">
      <c r="B26" s="259">
        <f t="shared" si="4"/>
        <v>45953</v>
      </c>
      <c r="C26" s="17"/>
      <c r="D26" s="198">
        <v>2000</v>
      </c>
      <c r="E26" s="198"/>
      <c r="F26" s="173">
        <v>54</v>
      </c>
      <c r="G26" s="173"/>
      <c r="H26" s="173"/>
      <c r="I26" s="175"/>
      <c r="J26" s="175"/>
      <c r="K26" s="175"/>
      <c r="L26" s="175"/>
      <c r="M26" s="175"/>
      <c r="N26" s="266">
        <f t="shared" si="5"/>
        <v>108000</v>
      </c>
      <c r="O26" s="23"/>
      <c r="P26" s="23"/>
      <c r="Q26" s="23"/>
      <c r="R26" s="2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>
        <f t="shared" si="1"/>
        <v>108000</v>
      </c>
      <c r="AD26" s="173">
        <v>82</v>
      </c>
      <c r="AE26" s="173">
        <f t="shared" si="2"/>
        <v>164000</v>
      </c>
      <c r="AF26" s="173">
        <f t="shared" si="3"/>
        <v>56000</v>
      </c>
      <c r="AG26" s="1"/>
    </row>
    <row r="27" spans="2:33" ht="30" customHeight="1" x14ac:dyDescent="0.45">
      <c r="B27" s="259">
        <f t="shared" si="4"/>
        <v>45954</v>
      </c>
      <c r="C27" s="17"/>
      <c r="D27" s="198">
        <v>2000</v>
      </c>
      <c r="E27" s="198"/>
      <c r="F27" s="173">
        <v>54</v>
      </c>
      <c r="G27" s="173"/>
      <c r="H27" s="173"/>
      <c r="I27" s="175"/>
      <c r="J27" s="175"/>
      <c r="K27" s="175"/>
      <c r="L27" s="175"/>
      <c r="M27" s="175"/>
      <c r="N27" s="266">
        <f t="shared" si="5"/>
        <v>108000</v>
      </c>
      <c r="O27" s="23"/>
      <c r="P27" s="23"/>
      <c r="Q27" s="23"/>
      <c r="R27" s="2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>
        <f t="shared" si="1"/>
        <v>108000</v>
      </c>
      <c r="AD27" s="173">
        <v>82</v>
      </c>
      <c r="AE27" s="173">
        <f t="shared" si="2"/>
        <v>164000</v>
      </c>
      <c r="AF27" s="173">
        <f t="shared" si="3"/>
        <v>56000</v>
      </c>
      <c r="AG27" s="1"/>
    </row>
    <row r="28" spans="2:33" ht="30" customHeight="1" x14ac:dyDescent="0.45">
      <c r="B28" s="259">
        <f t="shared" si="4"/>
        <v>45955</v>
      </c>
      <c r="C28" s="17"/>
      <c r="D28" s="198">
        <v>2000</v>
      </c>
      <c r="E28" s="198"/>
      <c r="F28" s="173">
        <v>54</v>
      </c>
      <c r="G28" s="173"/>
      <c r="H28" s="173"/>
      <c r="I28" s="175"/>
      <c r="J28" s="175"/>
      <c r="K28" s="175"/>
      <c r="L28" s="175"/>
      <c r="M28" s="175"/>
      <c r="N28" s="266">
        <f t="shared" si="5"/>
        <v>108000</v>
      </c>
      <c r="O28" s="23"/>
      <c r="P28" s="23"/>
      <c r="Q28" s="23"/>
      <c r="R28" s="2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>
        <f t="shared" si="1"/>
        <v>108000</v>
      </c>
      <c r="AD28" s="173">
        <v>82</v>
      </c>
      <c r="AE28" s="173">
        <f t="shared" si="2"/>
        <v>164000</v>
      </c>
      <c r="AF28" s="173">
        <f t="shared" si="3"/>
        <v>56000</v>
      </c>
      <c r="AG28" s="1"/>
    </row>
    <row r="29" spans="2:33" ht="30" customHeight="1" x14ac:dyDescent="0.45">
      <c r="B29" s="289">
        <f t="shared" si="4"/>
        <v>45956</v>
      </c>
      <c r="C29" s="15"/>
      <c r="D29" s="290">
        <v>2000</v>
      </c>
      <c r="E29" s="290"/>
      <c r="F29" s="205">
        <v>54</v>
      </c>
      <c r="G29" s="205"/>
      <c r="H29" s="205"/>
      <c r="I29" s="291"/>
      <c r="J29" s="291"/>
      <c r="K29" s="291"/>
      <c r="L29" s="291"/>
      <c r="M29" s="291"/>
      <c r="N29" s="292">
        <f t="shared" si="5"/>
        <v>108000</v>
      </c>
      <c r="O29" s="24"/>
      <c r="P29" s="24"/>
      <c r="Q29" s="24"/>
      <c r="R29" s="293"/>
      <c r="S29" s="294"/>
      <c r="T29" s="295"/>
      <c r="U29" s="296"/>
      <c r="V29" s="205"/>
      <c r="W29" s="205"/>
      <c r="X29" s="205"/>
      <c r="Y29" s="205"/>
      <c r="Z29" s="205"/>
      <c r="AA29" s="205"/>
      <c r="AB29" s="205"/>
      <c r="AC29" s="205">
        <f t="shared" si="1"/>
        <v>108000</v>
      </c>
      <c r="AD29" s="205">
        <v>82</v>
      </c>
      <c r="AE29" s="205">
        <f t="shared" si="2"/>
        <v>164000</v>
      </c>
      <c r="AF29" s="297">
        <f t="shared" si="3"/>
        <v>56000</v>
      </c>
    </row>
    <row r="30" spans="2:33" ht="30" customHeight="1" x14ac:dyDescent="0.45">
      <c r="B30" s="259">
        <f t="shared" si="4"/>
        <v>45957</v>
      </c>
      <c r="C30" s="17"/>
      <c r="D30" s="198">
        <v>2000</v>
      </c>
      <c r="E30" s="198"/>
      <c r="F30" s="173">
        <v>54</v>
      </c>
      <c r="G30" s="173"/>
      <c r="H30" s="173"/>
      <c r="I30" s="175"/>
      <c r="J30" s="175"/>
      <c r="K30" s="175"/>
      <c r="L30" s="175"/>
      <c r="M30" s="175"/>
      <c r="N30" s="266">
        <f t="shared" si="5"/>
        <v>108000</v>
      </c>
      <c r="O30" s="23"/>
      <c r="P30" s="23"/>
      <c r="Q30" s="23"/>
      <c r="R30" s="201"/>
      <c r="S30" s="189"/>
      <c r="T30" s="196"/>
      <c r="U30" s="192"/>
      <c r="V30" s="173"/>
      <c r="W30" s="173"/>
      <c r="X30" s="173"/>
      <c r="Y30" s="173"/>
      <c r="Z30" s="173"/>
      <c r="AA30" s="173"/>
      <c r="AB30" s="173"/>
      <c r="AC30" s="173">
        <f t="shared" si="1"/>
        <v>108000</v>
      </c>
      <c r="AD30" s="173">
        <v>82</v>
      </c>
      <c r="AE30" s="173">
        <f t="shared" si="2"/>
        <v>164000</v>
      </c>
      <c r="AF30" s="174">
        <f t="shared" si="3"/>
        <v>56000</v>
      </c>
    </row>
    <row r="31" spans="2:33" s="26" customFormat="1" ht="30" customHeight="1" x14ac:dyDescent="0.45">
      <c r="B31" s="260">
        <f t="shared" si="4"/>
        <v>45958</v>
      </c>
      <c r="C31" s="23"/>
      <c r="D31" s="198"/>
      <c r="E31" s="198"/>
      <c r="F31" s="173"/>
      <c r="G31" s="173"/>
      <c r="H31" s="173"/>
      <c r="I31" s="175"/>
      <c r="J31" s="175"/>
      <c r="K31" s="175"/>
      <c r="L31" s="175"/>
      <c r="M31" s="175"/>
      <c r="N31" s="267">
        <f t="shared" si="5"/>
        <v>0</v>
      </c>
      <c r="O31" s="23"/>
      <c r="P31" s="23"/>
      <c r="Q31" s="23"/>
      <c r="R31" s="201"/>
      <c r="S31" s="189"/>
      <c r="T31" s="196"/>
      <c r="U31" s="193"/>
      <c r="V31" s="173"/>
      <c r="W31" s="173"/>
      <c r="X31" s="173"/>
      <c r="Y31" s="173"/>
      <c r="Z31" s="173"/>
      <c r="AA31" s="173"/>
      <c r="AB31" s="173"/>
      <c r="AC31" s="173">
        <f t="shared" si="1"/>
        <v>0</v>
      </c>
      <c r="AD31" s="173">
        <v>165</v>
      </c>
      <c r="AE31" s="173">
        <f t="shared" si="2"/>
        <v>0</v>
      </c>
      <c r="AF31" s="174">
        <f t="shared" si="3"/>
        <v>0</v>
      </c>
    </row>
    <row r="32" spans="2:33" ht="30" customHeight="1" x14ac:dyDescent="0.45">
      <c r="B32" s="259">
        <f t="shared" si="4"/>
        <v>45959</v>
      </c>
      <c r="C32" s="17"/>
      <c r="D32" s="198">
        <v>2000</v>
      </c>
      <c r="E32" s="198"/>
      <c r="F32" s="173">
        <v>54</v>
      </c>
      <c r="G32" s="173"/>
      <c r="H32" s="173"/>
      <c r="I32" s="175"/>
      <c r="J32" s="175"/>
      <c r="K32" s="175"/>
      <c r="L32" s="175"/>
      <c r="M32" s="175"/>
      <c r="N32" s="266">
        <f t="shared" si="5"/>
        <v>108000</v>
      </c>
      <c r="O32" s="23"/>
      <c r="P32" s="23"/>
      <c r="Q32" s="23"/>
      <c r="R32" s="201"/>
      <c r="S32" s="189"/>
      <c r="T32" s="196"/>
      <c r="U32" s="192"/>
      <c r="V32" s="173"/>
      <c r="W32" s="173"/>
      <c r="X32" s="173"/>
      <c r="Y32" s="173"/>
      <c r="Z32" s="173"/>
      <c r="AA32" s="173"/>
      <c r="AB32" s="173"/>
      <c r="AC32" s="173">
        <f t="shared" si="1"/>
        <v>108000</v>
      </c>
      <c r="AD32" s="173">
        <v>82</v>
      </c>
      <c r="AE32" s="173">
        <f t="shared" si="2"/>
        <v>164000</v>
      </c>
      <c r="AF32" s="174">
        <f t="shared" si="3"/>
        <v>56000</v>
      </c>
    </row>
    <row r="33" spans="2:42" ht="30" customHeight="1" x14ac:dyDescent="0.45">
      <c r="B33" s="259">
        <f t="shared" si="4"/>
        <v>45960</v>
      </c>
      <c r="C33" s="53"/>
      <c r="D33" s="198">
        <v>2000</v>
      </c>
      <c r="E33" s="198"/>
      <c r="F33" s="173">
        <v>54</v>
      </c>
      <c r="G33" s="269"/>
      <c r="H33" s="269"/>
      <c r="I33" s="183"/>
      <c r="J33" s="183"/>
      <c r="K33" s="183"/>
      <c r="L33" s="183"/>
      <c r="M33" s="183"/>
      <c r="N33" s="268">
        <f t="shared" si="5"/>
        <v>108000</v>
      </c>
      <c r="O33" s="52"/>
      <c r="P33" s="52"/>
      <c r="Q33" s="52"/>
      <c r="R33" s="202"/>
      <c r="S33" s="189"/>
      <c r="T33" s="196"/>
      <c r="U33" s="192"/>
      <c r="V33" s="173"/>
      <c r="W33" s="173"/>
      <c r="X33" s="173"/>
      <c r="Y33" s="173"/>
      <c r="Z33" s="173"/>
      <c r="AA33" s="173"/>
      <c r="AB33" s="173"/>
      <c r="AC33" s="173">
        <f t="shared" si="1"/>
        <v>108000</v>
      </c>
      <c r="AD33" s="173">
        <v>82</v>
      </c>
      <c r="AE33" s="173">
        <f t="shared" si="2"/>
        <v>164000</v>
      </c>
      <c r="AF33" s="174">
        <f t="shared" si="3"/>
        <v>56000</v>
      </c>
    </row>
    <row r="34" spans="2:42" ht="30" customHeight="1" x14ac:dyDescent="0.45">
      <c r="B34" s="259">
        <f t="shared" si="4"/>
        <v>45961</v>
      </c>
      <c r="C34" s="17"/>
      <c r="D34" s="198"/>
      <c r="E34" s="198"/>
      <c r="F34" s="173"/>
      <c r="G34" s="173"/>
      <c r="H34" s="173"/>
      <c r="I34" s="175"/>
      <c r="J34" s="175"/>
      <c r="K34" s="175"/>
      <c r="L34" s="175"/>
      <c r="M34" s="175"/>
      <c r="N34" s="266">
        <f t="shared" si="5"/>
        <v>0</v>
      </c>
      <c r="O34" s="23"/>
      <c r="P34" s="23"/>
      <c r="Q34" s="23"/>
      <c r="R34" s="201"/>
      <c r="S34" s="189"/>
      <c r="T34" s="196"/>
      <c r="U34" s="192"/>
      <c r="V34" s="173"/>
      <c r="W34" s="173"/>
      <c r="X34" s="173"/>
      <c r="Y34" s="173"/>
      <c r="Z34" s="173"/>
      <c r="AA34" s="173"/>
      <c r="AB34" s="173"/>
      <c r="AC34" s="173">
        <f>N34+O34+S34+T34+V34+W34+Y34</f>
        <v>0</v>
      </c>
      <c r="AD34" s="173"/>
      <c r="AE34" s="173">
        <f t="shared" si="2"/>
        <v>0</v>
      </c>
      <c r="AF34" s="174">
        <f t="shared" si="3"/>
        <v>0</v>
      </c>
    </row>
    <row r="35" spans="2:42" ht="30" customHeight="1" thickBot="1" x14ac:dyDescent="0.5">
      <c r="B35" s="25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9"/>
    </row>
    <row r="36" spans="2:42" ht="30" customHeight="1" thickBot="1" x14ac:dyDescent="0.5">
      <c r="B36" s="274" t="s">
        <v>12</v>
      </c>
      <c r="C36" s="275"/>
      <c r="D36" s="180">
        <f>SUM(D4:D34)</f>
        <v>60000</v>
      </c>
      <c r="E36" s="181"/>
      <c r="F36" s="181">
        <v>54</v>
      </c>
      <c r="G36" s="181"/>
      <c r="H36" s="181"/>
      <c r="I36" s="180"/>
      <c r="J36" s="181"/>
      <c r="K36" s="181"/>
      <c r="L36" s="181"/>
      <c r="M36" s="181"/>
      <c r="N36" s="181">
        <f t="shared" si="5"/>
        <v>3240000</v>
      </c>
      <c r="O36" s="180">
        <f t="shared" ref="O36:W36" si="6">SUM(O4:O34)</f>
        <v>20000</v>
      </c>
      <c r="P36" s="180">
        <f t="shared" si="6"/>
        <v>5000</v>
      </c>
      <c r="Q36" s="180">
        <f t="shared" si="6"/>
        <v>16000</v>
      </c>
      <c r="R36" s="180">
        <f t="shared" si="6"/>
        <v>500</v>
      </c>
      <c r="S36" s="181">
        <f t="shared" si="6"/>
        <v>0</v>
      </c>
      <c r="T36" s="180">
        <f t="shared" si="6"/>
        <v>0</v>
      </c>
      <c r="U36" s="180">
        <f t="shared" si="6"/>
        <v>0</v>
      </c>
      <c r="V36" s="181">
        <f t="shared" si="6"/>
        <v>1000</v>
      </c>
      <c r="W36" s="180">
        <f t="shared" si="6"/>
        <v>32000</v>
      </c>
      <c r="X36" s="180">
        <f t="shared" ref="X36:AB36" si="7">SUM(X4:X34)</f>
        <v>0</v>
      </c>
      <c r="Y36" s="180">
        <f t="shared" si="7"/>
        <v>0</v>
      </c>
      <c r="Z36" s="180">
        <f t="shared" si="7"/>
        <v>0</v>
      </c>
      <c r="AA36" s="180">
        <f t="shared" si="7"/>
        <v>0</v>
      </c>
      <c r="AB36" s="180">
        <f t="shared" si="7"/>
        <v>0</v>
      </c>
      <c r="AC36" s="180">
        <f>N36+O36+P36+Q36+R36+S36+T36+U36+V36+W36+X36+Y36+Z36+AA36+AB36</f>
        <v>3314500</v>
      </c>
      <c r="AD36" s="181">
        <v>82</v>
      </c>
      <c r="AE36" s="180">
        <f>AD36*D36</f>
        <v>4920000</v>
      </c>
      <c r="AF36" s="182">
        <f>AE36-AC36</f>
        <v>1605500</v>
      </c>
    </row>
    <row r="37" spans="2:42" ht="30" customHeight="1" x14ac:dyDescent="0.4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2:42" ht="30" customHeight="1" x14ac:dyDescent="0.45">
      <c r="B38" s="14"/>
      <c r="C38" s="17"/>
      <c r="D38" s="53"/>
      <c r="E38" s="264"/>
      <c r="F38" s="279"/>
      <c r="G38" s="302"/>
      <c r="H38" s="302"/>
      <c r="I38" s="280"/>
      <c r="J38" s="265"/>
      <c r="K38" s="265"/>
      <c r="L38" s="265"/>
      <c r="M38" s="265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</row>
    <row r="39" spans="2:42" ht="30" customHeight="1" x14ac:dyDescent="0.45">
      <c r="B39" s="14"/>
      <c r="C39" s="187"/>
      <c r="D39" s="51"/>
      <c r="E39" s="51"/>
      <c r="F39" s="281"/>
      <c r="G39" s="281"/>
      <c r="H39" s="281"/>
      <c r="I39" s="281"/>
      <c r="J39" s="51"/>
      <c r="K39" s="51"/>
      <c r="L39" s="51"/>
      <c r="M39" s="51"/>
      <c r="N39" s="51"/>
      <c r="O39" s="51"/>
      <c r="P39" s="51"/>
      <c r="Q39" s="51"/>
      <c r="R39" s="51"/>
      <c r="S39" s="211"/>
      <c r="T39" s="21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spans="2:42" ht="30" customHeight="1" x14ac:dyDescent="0.3">
      <c r="V40" s="53"/>
    </row>
    <row r="41" spans="2:42" ht="30" customHeight="1" x14ac:dyDescent="0.65">
      <c r="F41" s="206" t="s">
        <v>133</v>
      </c>
      <c r="G41" s="206"/>
      <c r="H41" s="20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</row>
    <row r="42" spans="2:42" ht="30" customHeight="1" x14ac:dyDescent="0.7">
      <c r="F42" s="186"/>
      <c r="G42" s="186"/>
      <c r="H42" s="186"/>
      <c r="I42" s="273" t="s">
        <v>144</v>
      </c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3"/>
      <c r="AF42" s="273"/>
    </row>
    <row r="43" spans="2:42" ht="30" customHeight="1" x14ac:dyDescent="0.7">
      <c r="F43" s="186"/>
      <c r="G43" s="186"/>
      <c r="H43" s="186"/>
      <c r="I43" s="209" t="s">
        <v>143</v>
      </c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4"/>
      <c r="W43" s="204"/>
      <c r="X43" s="204"/>
      <c r="Y43" s="204"/>
      <c r="Z43" s="204"/>
      <c r="AA43" s="204"/>
      <c r="AB43" s="204"/>
      <c r="AC43" s="204"/>
      <c r="AD43" s="210"/>
      <c r="AE43" s="210"/>
      <c r="AF43" s="210"/>
    </row>
    <row r="44" spans="2:42" ht="30" customHeight="1" x14ac:dyDescent="0.7">
      <c r="F44" s="186"/>
      <c r="G44" s="186"/>
      <c r="H44" s="186"/>
      <c r="I44" s="273" t="s">
        <v>145</v>
      </c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</row>
    <row r="45" spans="2:42" ht="30" customHeight="1" x14ac:dyDescent="0.7">
      <c r="F45" s="186"/>
      <c r="G45" s="186"/>
      <c r="H45" s="186"/>
      <c r="I45" s="273" t="s">
        <v>146</v>
      </c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04"/>
      <c r="W45" s="204"/>
      <c r="X45" s="204"/>
      <c r="Y45" s="204"/>
      <c r="Z45" s="204"/>
      <c r="AA45" s="204"/>
      <c r="AB45" s="204"/>
      <c r="AC45" s="204"/>
      <c r="AD45" s="210"/>
      <c r="AE45" s="210"/>
      <c r="AF45" s="210"/>
    </row>
    <row r="46" spans="2:42" ht="30" customHeight="1" x14ac:dyDescent="0.7">
      <c r="I46" s="273" t="s">
        <v>147</v>
      </c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</row>
    <row r="47" spans="2:42" ht="30" customHeight="1" x14ac:dyDescent="0.7">
      <c r="I47" s="273" t="s">
        <v>172</v>
      </c>
      <c r="J47" s="273"/>
      <c r="K47" s="273"/>
      <c r="L47" s="273"/>
      <c r="M47" s="273"/>
      <c r="N47" s="273"/>
      <c r="O47" s="273"/>
      <c r="P47" s="273"/>
      <c r="Q47" s="273"/>
      <c r="U47" s="261">
        <v>18500</v>
      </c>
      <c r="V47" s="261">
        <v>16</v>
      </c>
      <c r="W47" s="263">
        <f>V47*U47</f>
        <v>296000</v>
      </c>
      <c r="X47" s="263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</row>
    <row r="48" spans="2:42" ht="30" customHeight="1" x14ac:dyDescent="0.5">
      <c r="T48" s="212"/>
    </row>
    <row r="49" spans="20:20" ht="30" customHeight="1" x14ac:dyDescent="0.5">
      <c r="T49" s="212"/>
    </row>
    <row r="50" spans="20:20" ht="30" customHeight="1" x14ac:dyDescent="0.5">
      <c r="T50" s="212"/>
    </row>
    <row r="51" spans="20:20" ht="30" customHeight="1" x14ac:dyDescent="0.5">
      <c r="T51" s="212"/>
    </row>
    <row r="52" spans="20:20" ht="30" customHeight="1" x14ac:dyDescent="0.5">
      <c r="T52" s="212"/>
    </row>
    <row r="53" spans="20:20" ht="30" customHeight="1" x14ac:dyDescent="0.5">
      <c r="T53" s="212"/>
    </row>
    <row r="54" spans="20:20" ht="30" customHeight="1" x14ac:dyDescent="0.5">
      <c r="T54" s="212"/>
    </row>
    <row r="55" spans="20:20" ht="30" customHeight="1" x14ac:dyDescent="0.5">
      <c r="T55" s="212"/>
    </row>
    <row r="56" spans="20:20" ht="30" customHeight="1" x14ac:dyDescent="0.5">
      <c r="T56" s="212"/>
    </row>
    <row r="57" spans="20:20" ht="30" customHeight="1" x14ac:dyDescent="0.5">
      <c r="T57" s="212"/>
    </row>
    <row r="58" spans="20:20" ht="30" customHeight="1" x14ac:dyDescent="0.5">
      <c r="T58" s="212"/>
    </row>
    <row r="59" spans="20:20" ht="30" customHeight="1" x14ac:dyDescent="0.5">
      <c r="T59" s="212"/>
    </row>
    <row r="60" spans="20:20" ht="30" customHeight="1" x14ac:dyDescent="0.5">
      <c r="T60" s="212"/>
    </row>
    <row r="61" spans="20:20" ht="30" customHeight="1" x14ac:dyDescent="0.5">
      <c r="T61" s="212"/>
    </row>
    <row r="62" spans="20:20" ht="30" customHeight="1" x14ac:dyDescent="0.5">
      <c r="T62" s="212"/>
    </row>
    <row r="63" spans="20:20" ht="30" customHeight="1" x14ac:dyDescent="0.5">
      <c r="T63" s="212"/>
    </row>
    <row r="64" spans="20:20" ht="30" customHeight="1" x14ac:dyDescent="0.5">
      <c r="T64" s="212"/>
    </row>
    <row r="65" spans="20:20" ht="30" customHeight="1" x14ac:dyDescent="0.5">
      <c r="T65" s="212"/>
    </row>
    <row r="66" spans="20:20" ht="30" customHeight="1" x14ac:dyDescent="0.5">
      <c r="T66" s="212"/>
    </row>
    <row r="67" spans="20:20" ht="30" customHeight="1" x14ac:dyDescent="0.5">
      <c r="T67" s="212"/>
    </row>
    <row r="68" spans="20:20" ht="30" customHeight="1" x14ac:dyDescent="0.5">
      <c r="T68" s="212"/>
    </row>
    <row r="69" spans="20:20" ht="30" customHeight="1" x14ac:dyDescent="0.3"/>
    <row r="70" spans="20:20" ht="30" customHeight="1" x14ac:dyDescent="0.3"/>
    <row r="71" spans="20:20" ht="30" customHeight="1" x14ac:dyDescent="0.3"/>
    <row r="72" spans="20:20" ht="30" customHeight="1" x14ac:dyDescent="0.3"/>
    <row r="73" spans="20:20" ht="30" customHeight="1" x14ac:dyDescent="0.3"/>
    <row r="74" spans="20:20" ht="30" customHeight="1" x14ac:dyDescent="0.3"/>
    <row r="75" spans="20:20" ht="30" customHeight="1" x14ac:dyDescent="0.3"/>
    <row r="76" spans="20:20" ht="30" customHeight="1" x14ac:dyDescent="0.3"/>
    <row r="77" spans="20:20" ht="30" customHeight="1" x14ac:dyDescent="0.3"/>
    <row r="78" spans="20:20" ht="30" customHeight="1" x14ac:dyDescent="0.3"/>
    <row r="79" spans="20:20" ht="30" customHeight="1" x14ac:dyDescent="0.3"/>
    <row r="80" spans="20:2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</sheetData>
  <mergeCells count="9">
    <mergeCell ref="B2:AF2"/>
    <mergeCell ref="B36:C36"/>
    <mergeCell ref="F38:I38"/>
    <mergeCell ref="F39:I39"/>
    <mergeCell ref="I47:Q47"/>
    <mergeCell ref="I44:AF44"/>
    <mergeCell ref="I45:U45"/>
    <mergeCell ref="I46:U46"/>
    <mergeCell ref="I42:AF42"/>
  </mergeCells>
  <pageMargins left="0" right="0" top="0" bottom="0.75" header="0.3" footer="0.3"/>
  <pageSetup scale="43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137"/>
  <sheetViews>
    <sheetView topLeftCell="A5" workbookViewId="0">
      <selection activeCell="P16" sqref="P16"/>
    </sheetView>
  </sheetViews>
  <sheetFormatPr defaultRowHeight="14.4" x14ac:dyDescent="0.3"/>
  <cols>
    <col min="2" max="2" width="16.5546875" customWidth="1"/>
    <col min="3" max="3" width="13" customWidth="1"/>
    <col min="4" max="4" width="13.88671875" customWidth="1"/>
    <col min="5" max="5" width="13.33203125" customWidth="1"/>
    <col min="6" max="6" width="12.88671875" customWidth="1"/>
    <col min="7" max="7" width="17.88671875" customWidth="1"/>
    <col min="8" max="8" width="13.5546875" customWidth="1"/>
    <col min="9" max="9" width="14.33203125" customWidth="1"/>
    <col min="10" max="12" width="13.88671875" bestFit="1" customWidth="1"/>
    <col min="13" max="13" width="15.88671875" customWidth="1"/>
    <col min="14" max="14" width="14.5546875" bestFit="1" customWidth="1"/>
    <col min="15" max="15" width="17.6640625" customWidth="1"/>
    <col min="16" max="16" width="15.109375" customWidth="1"/>
    <col min="17" max="17" width="14.6640625" customWidth="1"/>
    <col min="18" max="18" width="18.5546875" bestFit="1" customWidth="1"/>
    <col min="19" max="19" width="14" customWidth="1"/>
    <col min="20" max="20" width="18.5546875" bestFit="1" customWidth="1"/>
    <col min="21" max="21" width="15.33203125" customWidth="1"/>
  </cols>
  <sheetData>
    <row r="1" spans="2:21" ht="30" customHeight="1" thickBot="1" x14ac:dyDescent="0.45">
      <c r="H1" s="61"/>
      <c r="I1" s="61"/>
      <c r="J1" s="61"/>
      <c r="K1" s="61"/>
      <c r="L1" s="61"/>
      <c r="M1" s="61"/>
      <c r="N1" s="61"/>
      <c r="O1" s="61"/>
      <c r="P1" s="61"/>
      <c r="Q1" s="62"/>
      <c r="R1" s="62"/>
      <c r="S1" s="62"/>
    </row>
    <row r="2" spans="2:21" ht="30" customHeight="1" thickBot="1" x14ac:dyDescent="0.35">
      <c r="B2" s="276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8"/>
      <c r="S2" s="270" t="s">
        <v>14</v>
      </c>
      <c r="T2" s="271"/>
      <c r="U2" s="272"/>
    </row>
    <row r="3" spans="2:21" ht="58.5" customHeight="1" thickBot="1" x14ac:dyDescent="0.35">
      <c r="B3" s="162" t="s">
        <v>0</v>
      </c>
      <c r="C3" s="163" t="s">
        <v>1</v>
      </c>
      <c r="D3" s="162" t="s">
        <v>2</v>
      </c>
      <c r="E3" s="207" t="s">
        <v>137</v>
      </c>
      <c r="F3" s="208" t="s">
        <v>138</v>
      </c>
      <c r="G3" s="163" t="s">
        <v>3</v>
      </c>
      <c r="H3" s="162" t="s">
        <v>8</v>
      </c>
      <c r="I3" s="162" t="s">
        <v>134</v>
      </c>
      <c r="J3" s="162" t="s">
        <v>135</v>
      </c>
      <c r="K3" s="162" t="s">
        <v>136</v>
      </c>
      <c r="L3" s="162" t="s">
        <v>11</v>
      </c>
      <c r="M3" s="163" t="s">
        <v>9</v>
      </c>
      <c r="N3" s="164" t="s">
        <v>139</v>
      </c>
      <c r="O3" s="163" t="s">
        <v>140</v>
      </c>
      <c r="P3" s="208" t="s">
        <v>141</v>
      </c>
      <c r="Q3" s="162" t="s">
        <v>13</v>
      </c>
      <c r="R3" s="162" t="s">
        <v>12</v>
      </c>
      <c r="S3" s="207" t="s">
        <v>142</v>
      </c>
      <c r="T3" s="162" t="s">
        <v>12</v>
      </c>
      <c r="U3" s="162" t="s">
        <v>15</v>
      </c>
    </row>
    <row r="4" spans="2:21" ht="30" customHeight="1" x14ac:dyDescent="0.45">
      <c r="B4" s="59">
        <v>43045</v>
      </c>
      <c r="C4" s="49">
        <v>1</v>
      </c>
      <c r="D4" s="185">
        <v>150</v>
      </c>
      <c r="E4" s="166">
        <v>115</v>
      </c>
      <c r="F4" s="166"/>
      <c r="G4" s="166">
        <f>D4*(E4+F4)</f>
        <v>17250</v>
      </c>
      <c r="H4" s="166"/>
      <c r="I4" s="166"/>
      <c r="J4" s="166"/>
      <c r="K4" s="188">
        <v>5000</v>
      </c>
      <c r="L4" s="188">
        <v>20000</v>
      </c>
      <c r="M4" s="195">
        <v>35000</v>
      </c>
      <c r="N4" s="191">
        <v>15000</v>
      </c>
      <c r="O4" s="166">
        <v>5000</v>
      </c>
      <c r="P4" s="166">
        <v>20000</v>
      </c>
      <c r="Q4" s="166">
        <v>40000</v>
      </c>
      <c r="R4" s="166">
        <f>G4+H4+I4+J4+K4+L4+M4+N4+O4+P4+Q4</f>
        <v>157250</v>
      </c>
      <c r="S4" s="166">
        <v>100</v>
      </c>
      <c r="T4" s="166">
        <f>S4*D4</f>
        <v>15000</v>
      </c>
      <c r="U4" s="172">
        <f>T4-R4</f>
        <v>-142250</v>
      </c>
    </row>
    <row r="5" spans="2:21" ht="30" customHeight="1" x14ac:dyDescent="0.45">
      <c r="B5" s="27">
        <v>43046</v>
      </c>
      <c r="C5" s="165">
        <v>1</v>
      </c>
      <c r="D5" s="198">
        <v>150</v>
      </c>
      <c r="E5" s="173">
        <v>115</v>
      </c>
      <c r="F5" s="173"/>
      <c r="G5" s="167">
        <f t="shared" ref="G5:G10" si="0">D5*(E5+F5)</f>
        <v>17250</v>
      </c>
      <c r="H5" s="165"/>
      <c r="I5" s="165"/>
      <c r="J5" s="165"/>
      <c r="K5" s="200"/>
      <c r="L5" s="189"/>
      <c r="M5" s="196">
        <f t="shared" ref="M5:M38" si="1">10*D5</f>
        <v>1500</v>
      </c>
      <c r="N5" s="192"/>
      <c r="O5" s="173"/>
      <c r="P5" s="173"/>
      <c r="Q5" s="173"/>
      <c r="R5" s="173">
        <f t="shared" ref="R5:R38" si="2">G5+H5+L5+M5+O5+P5+Q5</f>
        <v>18750</v>
      </c>
      <c r="S5" s="173"/>
      <c r="T5" s="173">
        <f t="shared" ref="T5:T38" si="3">S5*D5</f>
        <v>0</v>
      </c>
      <c r="U5" s="174">
        <f t="shared" ref="U5:U38" si="4">T5-R5</f>
        <v>-18750</v>
      </c>
    </row>
    <row r="6" spans="2:21" ht="30" customHeight="1" x14ac:dyDescent="0.45">
      <c r="B6" s="27">
        <v>43047</v>
      </c>
      <c r="C6" s="165">
        <v>1</v>
      </c>
      <c r="D6" s="198">
        <v>150</v>
      </c>
      <c r="E6" s="173">
        <v>115</v>
      </c>
      <c r="F6" s="173"/>
      <c r="G6" s="167">
        <f t="shared" si="0"/>
        <v>17250</v>
      </c>
      <c r="H6" s="17"/>
      <c r="I6" s="17"/>
      <c r="J6" s="17"/>
      <c r="K6" s="187"/>
      <c r="L6" s="189"/>
      <c r="M6" s="196">
        <f t="shared" si="1"/>
        <v>1500</v>
      </c>
      <c r="N6" s="192"/>
      <c r="O6" s="173"/>
      <c r="P6" s="173"/>
      <c r="Q6" s="173"/>
      <c r="R6" s="173">
        <f t="shared" si="2"/>
        <v>18750</v>
      </c>
      <c r="S6" s="173"/>
      <c r="T6" s="173">
        <f t="shared" si="3"/>
        <v>0</v>
      </c>
      <c r="U6" s="174">
        <f t="shared" si="4"/>
        <v>-18750</v>
      </c>
    </row>
    <row r="7" spans="2:21" ht="30" customHeight="1" x14ac:dyDescent="0.45">
      <c r="B7" s="27">
        <v>43048</v>
      </c>
      <c r="C7" s="165">
        <v>1</v>
      </c>
      <c r="D7" s="198">
        <v>150</v>
      </c>
      <c r="E7" s="173">
        <v>115</v>
      </c>
      <c r="F7" s="173"/>
      <c r="G7" s="167">
        <f t="shared" si="0"/>
        <v>17250</v>
      </c>
      <c r="H7" s="17"/>
      <c r="I7" s="17"/>
      <c r="J7" s="17"/>
      <c r="K7" s="187"/>
      <c r="L7" s="189"/>
      <c r="M7" s="196">
        <f t="shared" si="1"/>
        <v>1500</v>
      </c>
      <c r="N7" s="192"/>
      <c r="O7" s="173"/>
      <c r="P7" s="173"/>
      <c r="Q7" s="173"/>
      <c r="R7" s="173">
        <f t="shared" si="2"/>
        <v>18750</v>
      </c>
      <c r="S7" s="173"/>
      <c r="T7" s="173">
        <f t="shared" si="3"/>
        <v>0</v>
      </c>
      <c r="U7" s="174">
        <f t="shared" si="4"/>
        <v>-18750</v>
      </c>
    </row>
    <row r="8" spans="2:21" ht="30" customHeight="1" x14ac:dyDescent="0.45">
      <c r="B8" s="27">
        <v>43049</v>
      </c>
      <c r="C8" s="165">
        <v>1</v>
      </c>
      <c r="D8" s="198">
        <v>150</v>
      </c>
      <c r="E8" s="173">
        <v>115</v>
      </c>
      <c r="F8" s="173"/>
      <c r="G8" s="167">
        <f t="shared" si="0"/>
        <v>17250</v>
      </c>
      <c r="H8" s="17"/>
      <c r="I8" s="17"/>
      <c r="J8" s="17"/>
      <c r="K8" s="187"/>
      <c r="L8" s="189"/>
      <c r="M8" s="196">
        <f t="shared" si="1"/>
        <v>1500</v>
      </c>
      <c r="N8" s="192"/>
      <c r="O8" s="173"/>
      <c r="P8" s="173"/>
      <c r="Q8" s="173"/>
      <c r="R8" s="173">
        <f t="shared" si="2"/>
        <v>18750</v>
      </c>
      <c r="S8" s="173"/>
      <c r="T8" s="173">
        <f t="shared" si="3"/>
        <v>0</v>
      </c>
      <c r="U8" s="174">
        <f t="shared" si="4"/>
        <v>-18750</v>
      </c>
    </row>
    <row r="9" spans="2:21" ht="30" customHeight="1" x14ac:dyDescent="0.45">
      <c r="B9" s="27">
        <v>43050</v>
      </c>
      <c r="C9" s="165">
        <v>1</v>
      </c>
      <c r="D9" s="198">
        <v>150</v>
      </c>
      <c r="E9" s="173">
        <v>115</v>
      </c>
      <c r="F9" s="173"/>
      <c r="G9" s="167">
        <f t="shared" si="0"/>
        <v>17250</v>
      </c>
      <c r="H9" s="17"/>
      <c r="I9" s="17"/>
      <c r="J9" s="17"/>
      <c r="K9" s="187"/>
      <c r="L9" s="189"/>
      <c r="M9" s="196">
        <f t="shared" si="1"/>
        <v>1500</v>
      </c>
      <c r="N9" s="192"/>
      <c r="O9" s="173"/>
      <c r="P9" s="173"/>
      <c r="Q9" s="173"/>
      <c r="R9" s="173">
        <f t="shared" si="2"/>
        <v>18750</v>
      </c>
      <c r="S9" s="173"/>
      <c r="T9" s="173">
        <f t="shared" si="3"/>
        <v>0</v>
      </c>
      <c r="U9" s="174">
        <f t="shared" si="4"/>
        <v>-18750</v>
      </c>
    </row>
    <row r="10" spans="2:21" ht="30" customHeight="1" x14ac:dyDescent="0.45">
      <c r="B10" s="27">
        <v>43051</v>
      </c>
      <c r="C10" s="165">
        <v>1</v>
      </c>
      <c r="D10" s="198">
        <v>150</v>
      </c>
      <c r="E10" s="173">
        <v>115</v>
      </c>
      <c r="F10" s="173"/>
      <c r="G10" s="167">
        <f t="shared" si="0"/>
        <v>17250</v>
      </c>
      <c r="H10" s="165"/>
      <c r="I10" s="165"/>
      <c r="J10" s="165"/>
      <c r="K10" s="200"/>
      <c r="L10" s="189"/>
      <c r="M10" s="196">
        <f t="shared" si="1"/>
        <v>1500</v>
      </c>
      <c r="N10" s="192"/>
      <c r="O10" s="173"/>
      <c r="P10" s="173"/>
      <c r="Q10" s="173"/>
      <c r="R10" s="173">
        <f t="shared" si="2"/>
        <v>18750</v>
      </c>
      <c r="S10" s="173"/>
      <c r="T10" s="173">
        <f t="shared" si="3"/>
        <v>0</v>
      </c>
      <c r="U10" s="174">
        <f t="shared" si="4"/>
        <v>-18750</v>
      </c>
    </row>
    <row r="11" spans="2:21" ht="30" customHeight="1" x14ac:dyDescent="0.45">
      <c r="B11" s="27">
        <v>43052</v>
      </c>
      <c r="C11" s="165">
        <v>1</v>
      </c>
      <c r="D11" s="198">
        <v>150</v>
      </c>
      <c r="E11" s="173">
        <v>115</v>
      </c>
      <c r="F11" s="173"/>
      <c r="G11" s="167">
        <f>D11*(E11+F11)</f>
        <v>17250</v>
      </c>
      <c r="H11" s="17"/>
      <c r="I11" s="17"/>
      <c r="J11" s="17"/>
      <c r="K11" s="187"/>
      <c r="L11" s="189"/>
      <c r="M11" s="196">
        <f t="shared" si="1"/>
        <v>1500</v>
      </c>
      <c r="N11" s="192"/>
      <c r="O11" s="173"/>
      <c r="P11" s="173"/>
      <c r="Q11" s="173"/>
      <c r="R11" s="173">
        <f t="shared" si="2"/>
        <v>18750</v>
      </c>
      <c r="S11" s="173"/>
      <c r="T11" s="173">
        <f t="shared" si="3"/>
        <v>0</v>
      </c>
      <c r="U11" s="174">
        <f t="shared" si="4"/>
        <v>-18750</v>
      </c>
    </row>
    <row r="12" spans="2:21" ht="30" customHeight="1" x14ac:dyDescent="0.45">
      <c r="B12" s="27">
        <v>43053</v>
      </c>
      <c r="C12" s="165">
        <v>1</v>
      </c>
      <c r="D12" s="198">
        <v>150</v>
      </c>
      <c r="E12" s="173">
        <v>115</v>
      </c>
      <c r="F12" s="173"/>
      <c r="G12" s="167">
        <f t="shared" ref="G12:G40" si="5">D12*(E12+F12)</f>
        <v>17250</v>
      </c>
      <c r="H12" s="17"/>
      <c r="I12" s="17"/>
      <c r="J12" s="17"/>
      <c r="K12" s="187"/>
      <c r="L12" s="189"/>
      <c r="M12" s="196">
        <f t="shared" si="1"/>
        <v>1500</v>
      </c>
      <c r="N12" s="192"/>
      <c r="O12" s="173"/>
      <c r="P12" s="173"/>
      <c r="Q12" s="173"/>
      <c r="R12" s="173">
        <f t="shared" si="2"/>
        <v>18750</v>
      </c>
      <c r="S12" s="173"/>
      <c r="T12" s="173">
        <f t="shared" si="3"/>
        <v>0</v>
      </c>
      <c r="U12" s="174">
        <f t="shared" si="4"/>
        <v>-18750</v>
      </c>
    </row>
    <row r="13" spans="2:21" s="26" customFormat="1" ht="30" customHeight="1" x14ac:dyDescent="0.45">
      <c r="B13" s="27">
        <v>43054</v>
      </c>
      <c r="C13" s="171">
        <v>1</v>
      </c>
      <c r="D13" s="198">
        <v>150</v>
      </c>
      <c r="E13" s="173">
        <v>115</v>
      </c>
      <c r="F13" s="175"/>
      <c r="G13" s="168">
        <f t="shared" si="5"/>
        <v>17250</v>
      </c>
      <c r="H13" s="23"/>
      <c r="I13" s="23"/>
      <c r="J13" s="23"/>
      <c r="K13" s="201"/>
      <c r="L13" s="189"/>
      <c r="M13" s="196">
        <f t="shared" si="1"/>
        <v>1500</v>
      </c>
      <c r="N13" s="193"/>
      <c r="O13" s="173"/>
      <c r="P13" s="173"/>
      <c r="Q13" s="173"/>
      <c r="R13" s="173">
        <f t="shared" si="2"/>
        <v>18750</v>
      </c>
      <c r="S13" s="173"/>
      <c r="T13" s="173">
        <f t="shared" si="3"/>
        <v>0</v>
      </c>
      <c r="U13" s="174">
        <f t="shared" si="4"/>
        <v>-18750</v>
      </c>
    </row>
    <row r="14" spans="2:21" ht="30" customHeight="1" x14ac:dyDescent="0.45">
      <c r="B14" s="27">
        <v>43055</v>
      </c>
      <c r="C14" s="165">
        <v>1</v>
      </c>
      <c r="D14" s="198">
        <v>150</v>
      </c>
      <c r="E14" s="173">
        <v>115</v>
      </c>
      <c r="F14" s="175"/>
      <c r="G14" s="168">
        <f t="shared" si="5"/>
        <v>17250</v>
      </c>
      <c r="H14" s="23"/>
      <c r="I14" s="23"/>
      <c r="J14" s="23"/>
      <c r="K14" s="201"/>
      <c r="L14" s="189"/>
      <c r="M14" s="196">
        <f t="shared" si="1"/>
        <v>1500</v>
      </c>
      <c r="N14" s="192"/>
      <c r="O14" s="173"/>
      <c r="P14" s="173"/>
      <c r="Q14" s="173"/>
      <c r="R14" s="173">
        <f t="shared" si="2"/>
        <v>18750</v>
      </c>
      <c r="S14" s="173"/>
      <c r="T14" s="173">
        <f t="shared" si="3"/>
        <v>0</v>
      </c>
      <c r="U14" s="174">
        <f t="shared" si="4"/>
        <v>-18750</v>
      </c>
    </row>
    <row r="15" spans="2:21" ht="30" customHeight="1" x14ac:dyDescent="0.45">
      <c r="B15" s="27">
        <v>43056</v>
      </c>
      <c r="C15" s="165">
        <v>1</v>
      </c>
      <c r="D15" s="198">
        <v>150</v>
      </c>
      <c r="E15" s="173">
        <v>115</v>
      </c>
      <c r="F15" s="175"/>
      <c r="G15" s="167">
        <f t="shared" si="5"/>
        <v>17250</v>
      </c>
      <c r="H15" s="23"/>
      <c r="I15" s="23"/>
      <c r="J15" s="23"/>
      <c r="K15" s="201"/>
      <c r="L15" s="189"/>
      <c r="M15" s="196">
        <f t="shared" si="1"/>
        <v>1500</v>
      </c>
      <c r="N15" s="192"/>
      <c r="O15" s="173"/>
      <c r="P15" s="173"/>
      <c r="Q15" s="173"/>
      <c r="R15" s="173">
        <f t="shared" si="2"/>
        <v>18750</v>
      </c>
      <c r="S15" s="173"/>
      <c r="T15" s="173">
        <f t="shared" si="3"/>
        <v>0</v>
      </c>
      <c r="U15" s="174">
        <f t="shared" si="4"/>
        <v>-18750</v>
      </c>
    </row>
    <row r="16" spans="2:21" ht="30" customHeight="1" x14ac:dyDescent="0.45">
      <c r="B16" s="27">
        <v>43057</v>
      </c>
      <c r="C16" s="165">
        <v>1</v>
      </c>
      <c r="D16" s="198">
        <v>150</v>
      </c>
      <c r="E16" s="173">
        <v>115</v>
      </c>
      <c r="F16" s="175"/>
      <c r="G16" s="167">
        <f t="shared" si="5"/>
        <v>17250</v>
      </c>
      <c r="H16" s="23"/>
      <c r="I16" s="23"/>
      <c r="J16" s="23"/>
      <c r="K16" s="201"/>
      <c r="L16" s="189"/>
      <c r="M16" s="196">
        <f t="shared" si="1"/>
        <v>1500</v>
      </c>
      <c r="N16" s="192"/>
      <c r="O16" s="173"/>
      <c r="P16" s="173"/>
      <c r="Q16" s="173"/>
      <c r="R16" s="173">
        <f t="shared" si="2"/>
        <v>18750</v>
      </c>
      <c r="S16" s="173"/>
      <c r="T16" s="173">
        <f t="shared" si="3"/>
        <v>0</v>
      </c>
      <c r="U16" s="174">
        <f t="shared" si="4"/>
        <v>-18750</v>
      </c>
    </row>
    <row r="17" spans="2:21" s="26" customFormat="1" ht="30" customHeight="1" x14ac:dyDescent="0.45">
      <c r="B17" s="27">
        <v>43058</v>
      </c>
      <c r="C17" s="171">
        <v>1</v>
      </c>
      <c r="D17" s="198">
        <v>150</v>
      </c>
      <c r="E17" s="173">
        <v>115</v>
      </c>
      <c r="F17" s="175"/>
      <c r="G17" s="167">
        <f t="shared" si="5"/>
        <v>17250</v>
      </c>
      <c r="H17" s="23"/>
      <c r="I17" s="23"/>
      <c r="J17" s="23"/>
      <c r="K17" s="201"/>
      <c r="L17" s="189"/>
      <c r="M17" s="196">
        <f t="shared" si="1"/>
        <v>1500</v>
      </c>
      <c r="N17" s="193"/>
      <c r="O17" s="173"/>
      <c r="P17" s="173"/>
      <c r="Q17" s="173"/>
      <c r="R17" s="173">
        <f t="shared" si="2"/>
        <v>18750</v>
      </c>
      <c r="S17" s="173"/>
      <c r="T17" s="173">
        <f t="shared" si="3"/>
        <v>0</v>
      </c>
      <c r="U17" s="174">
        <f t="shared" si="4"/>
        <v>-18750</v>
      </c>
    </row>
    <row r="18" spans="2:21" ht="30" customHeight="1" x14ac:dyDescent="0.45">
      <c r="B18" s="27">
        <v>43059</v>
      </c>
      <c r="C18" s="165">
        <v>1</v>
      </c>
      <c r="D18" s="198">
        <v>150</v>
      </c>
      <c r="E18" s="173">
        <v>115</v>
      </c>
      <c r="F18" s="175"/>
      <c r="G18" s="167">
        <f t="shared" si="5"/>
        <v>17250</v>
      </c>
      <c r="H18" s="23"/>
      <c r="I18" s="23"/>
      <c r="J18" s="23"/>
      <c r="K18" s="201"/>
      <c r="L18" s="189"/>
      <c r="M18" s="196">
        <f t="shared" si="1"/>
        <v>1500</v>
      </c>
      <c r="N18" s="192"/>
      <c r="O18" s="173"/>
      <c r="P18" s="173"/>
      <c r="Q18" s="173"/>
      <c r="R18" s="173">
        <f t="shared" si="2"/>
        <v>18750</v>
      </c>
      <c r="S18" s="173"/>
      <c r="T18" s="173">
        <f t="shared" si="3"/>
        <v>0</v>
      </c>
      <c r="U18" s="174">
        <f t="shared" si="4"/>
        <v>-18750</v>
      </c>
    </row>
    <row r="19" spans="2:21" ht="30" customHeight="1" x14ac:dyDescent="0.45">
      <c r="B19" s="27">
        <v>43060</v>
      </c>
      <c r="C19" s="165"/>
      <c r="D19" s="198">
        <v>150</v>
      </c>
      <c r="E19" s="173">
        <v>115</v>
      </c>
      <c r="F19" s="175"/>
      <c r="G19" s="167">
        <f t="shared" si="5"/>
        <v>17250</v>
      </c>
      <c r="H19" s="23"/>
      <c r="I19" s="23"/>
      <c r="J19" s="23"/>
      <c r="K19" s="201"/>
      <c r="L19" s="189"/>
      <c r="M19" s="196">
        <f t="shared" si="1"/>
        <v>1500</v>
      </c>
      <c r="N19" s="192"/>
      <c r="O19" s="173"/>
      <c r="P19" s="173"/>
      <c r="Q19" s="173"/>
      <c r="R19" s="173">
        <f t="shared" si="2"/>
        <v>18750</v>
      </c>
      <c r="S19" s="173"/>
      <c r="T19" s="173">
        <f t="shared" si="3"/>
        <v>0</v>
      </c>
      <c r="U19" s="174">
        <f t="shared" si="4"/>
        <v>-18750</v>
      </c>
    </row>
    <row r="20" spans="2:21" ht="30" customHeight="1" x14ac:dyDescent="0.45">
      <c r="B20" s="27">
        <v>43061</v>
      </c>
      <c r="C20" s="17"/>
      <c r="D20" s="198">
        <v>150</v>
      </c>
      <c r="E20" s="173">
        <v>115</v>
      </c>
      <c r="F20" s="175"/>
      <c r="G20" s="167">
        <f t="shared" si="5"/>
        <v>17250</v>
      </c>
      <c r="H20" s="23"/>
      <c r="I20" s="23"/>
      <c r="J20" s="23"/>
      <c r="K20" s="201"/>
      <c r="L20" s="189"/>
      <c r="M20" s="196">
        <f t="shared" si="1"/>
        <v>1500</v>
      </c>
      <c r="N20" s="192"/>
      <c r="O20" s="173"/>
      <c r="P20" s="173"/>
      <c r="Q20" s="173"/>
      <c r="R20" s="173">
        <f t="shared" si="2"/>
        <v>18750</v>
      </c>
      <c r="S20" s="173"/>
      <c r="T20" s="173">
        <f t="shared" si="3"/>
        <v>0</v>
      </c>
      <c r="U20" s="174">
        <f t="shared" si="4"/>
        <v>-18750</v>
      </c>
    </row>
    <row r="21" spans="2:21" ht="30" customHeight="1" x14ac:dyDescent="0.45">
      <c r="B21" s="27">
        <v>43062</v>
      </c>
      <c r="C21" s="17"/>
      <c r="D21" s="198">
        <v>150</v>
      </c>
      <c r="E21" s="173">
        <v>115</v>
      </c>
      <c r="F21" s="175"/>
      <c r="G21" s="167">
        <f t="shared" si="5"/>
        <v>17250</v>
      </c>
      <c r="H21" s="23"/>
      <c r="I21" s="23"/>
      <c r="J21" s="23"/>
      <c r="K21" s="201"/>
      <c r="L21" s="189"/>
      <c r="M21" s="196">
        <f t="shared" si="1"/>
        <v>1500</v>
      </c>
      <c r="N21" s="192"/>
      <c r="O21" s="173"/>
      <c r="P21" s="173"/>
      <c r="Q21" s="173"/>
      <c r="R21" s="173">
        <f t="shared" si="2"/>
        <v>18750</v>
      </c>
      <c r="S21" s="173"/>
      <c r="T21" s="173">
        <f t="shared" si="3"/>
        <v>0</v>
      </c>
      <c r="U21" s="174">
        <f t="shared" si="4"/>
        <v>-18750</v>
      </c>
    </row>
    <row r="22" spans="2:21" ht="30" customHeight="1" x14ac:dyDescent="0.45">
      <c r="B22" s="27">
        <v>43063</v>
      </c>
      <c r="C22" s="17"/>
      <c r="D22" s="198">
        <v>150</v>
      </c>
      <c r="E22" s="173">
        <v>115</v>
      </c>
      <c r="F22" s="175"/>
      <c r="G22" s="167">
        <f t="shared" si="5"/>
        <v>17250</v>
      </c>
      <c r="H22" s="23"/>
      <c r="I22" s="23"/>
      <c r="J22" s="23"/>
      <c r="K22" s="201"/>
      <c r="L22" s="189"/>
      <c r="M22" s="196">
        <f t="shared" si="1"/>
        <v>1500</v>
      </c>
      <c r="N22" s="192"/>
      <c r="O22" s="173"/>
      <c r="P22" s="173"/>
      <c r="Q22" s="173"/>
      <c r="R22" s="173">
        <f t="shared" si="2"/>
        <v>18750</v>
      </c>
      <c r="S22" s="173"/>
      <c r="T22" s="173">
        <f t="shared" si="3"/>
        <v>0</v>
      </c>
      <c r="U22" s="174">
        <f t="shared" si="4"/>
        <v>-18750</v>
      </c>
    </row>
    <row r="23" spans="2:21" ht="30" customHeight="1" x14ac:dyDescent="0.45">
      <c r="B23" s="27">
        <v>43064</v>
      </c>
      <c r="C23" s="17"/>
      <c r="D23" s="198">
        <v>150</v>
      </c>
      <c r="E23" s="173">
        <v>115</v>
      </c>
      <c r="F23" s="175"/>
      <c r="G23" s="167">
        <f t="shared" si="5"/>
        <v>17250</v>
      </c>
      <c r="H23" s="23"/>
      <c r="I23" s="23"/>
      <c r="J23" s="23"/>
      <c r="K23" s="201"/>
      <c r="L23" s="189"/>
      <c r="M23" s="196">
        <f t="shared" si="1"/>
        <v>1500</v>
      </c>
      <c r="N23" s="192"/>
      <c r="O23" s="173"/>
      <c r="P23" s="173"/>
      <c r="Q23" s="173"/>
      <c r="R23" s="173">
        <f t="shared" si="2"/>
        <v>18750</v>
      </c>
      <c r="S23" s="173"/>
      <c r="T23" s="173">
        <f t="shared" si="3"/>
        <v>0</v>
      </c>
      <c r="U23" s="174">
        <f t="shared" si="4"/>
        <v>-18750</v>
      </c>
    </row>
    <row r="24" spans="2:21" s="26" customFormat="1" ht="30" customHeight="1" x14ac:dyDescent="0.45">
      <c r="B24" s="27">
        <v>43065</v>
      </c>
      <c r="C24" s="23"/>
      <c r="D24" s="198">
        <v>150</v>
      </c>
      <c r="E24" s="173">
        <v>115</v>
      </c>
      <c r="F24" s="175"/>
      <c r="G24" s="168">
        <f t="shared" si="5"/>
        <v>17250</v>
      </c>
      <c r="H24" s="23"/>
      <c r="I24" s="23"/>
      <c r="J24" s="23"/>
      <c r="K24" s="201"/>
      <c r="L24" s="189"/>
      <c r="M24" s="196">
        <f t="shared" si="1"/>
        <v>1500</v>
      </c>
      <c r="N24" s="193"/>
      <c r="O24" s="173"/>
      <c r="P24" s="173"/>
      <c r="Q24" s="173"/>
      <c r="R24" s="173">
        <f t="shared" si="2"/>
        <v>18750</v>
      </c>
      <c r="S24" s="173"/>
      <c r="T24" s="173">
        <f t="shared" si="3"/>
        <v>0</v>
      </c>
      <c r="U24" s="174">
        <f t="shared" si="4"/>
        <v>-18750</v>
      </c>
    </row>
    <row r="25" spans="2:21" ht="30" customHeight="1" x14ac:dyDescent="0.45">
      <c r="B25" s="27">
        <v>43066</v>
      </c>
      <c r="C25" s="17"/>
      <c r="D25" s="198">
        <v>150</v>
      </c>
      <c r="E25" s="173">
        <v>115</v>
      </c>
      <c r="F25" s="175"/>
      <c r="G25" s="167">
        <f t="shared" si="5"/>
        <v>17250</v>
      </c>
      <c r="H25" s="23"/>
      <c r="I25" s="23"/>
      <c r="J25" s="23"/>
      <c r="K25" s="201"/>
      <c r="L25" s="189"/>
      <c r="M25" s="196">
        <f t="shared" si="1"/>
        <v>1500</v>
      </c>
      <c r="N25" s="192"/>
      <c r="O25" s="173"/>
      <c r="P25" s="173"/>
      <c r="Q25" s="173"/>
      <c r="R25" s="173">
        <f t="shared" si="2"/>
        <v>18750</v>
      </c>
      <c r="S25" s="173"/>
      <c r="T25" s="173">
        <f t="shared" si="3"/>
        <v>0</v>
      </c>
      <c r="U25" s="174">
        <f t="shared" si="4"/>
        <v>-18750</v>
      </c>
    </row>
    <row r="26" spans="2:21" ht="30" customHeight="1" x14ac:dyDescent="0.45">
      <c r="B26" s="27">
        <v>43067</v>
      </c>
      <c r="C26" s="17"/>
      <c r="D26" s="198">
        <v>150</v>
      </c>
      <c r="E26" s="173">
        <v>115</v>
      </c>
      <c r="F26" s="175"/>
      <c r="G26" s="167">
        <f t="shared" si="5"/>
        <v>17250</v>
      </c>
      <c r="H26" s="23"/>
      <c r="I26" s="23"/>
      <c r="J26" s="23"/>
      <c r="K26" s="201"/>
      <c r="L26" s="189"/>
      <c r="M26" s="196">
        <f t="shared" si="1"/>
        <v>1500</v>
      </c>
      <c r="N26" s="192"/>
      <c r="O26" s="173"/>
      <c r="P26" s="173"/>
      <c r="Q26" s="173"/>
      <c r="R26" s="173">
        <f t="shared" si="2"/>
        <v>18750</v>
      </c>
      <c r="S26" s="173"/>
      <c r="T26" s="173">
        <f t="shared" si="3"/>
        <v>0</v>
      </c>
      <c r="U26" s="174">
        <f t="shared" si="4"/>
        <v>-18750</v>
      </c>
    </row>
    <row r="27" spans="2:21" ht="30" customHeight="1" x14ac:dyDescent="0.45">
      <c r="B27" s="27">
        <v>43068</v>
      </c>
      <c r="C27" s="17"/>
      <c r="D27" s="198">
        <v>150</v>
      </c>
      <c r="E27" s="173">
        <v>115</v>
      </c>
      <c r="F27" s="175"/>
      <c r="G27" s="167">
        <f t="shared" si="5"/>
        <v>17250</v>
      </c>
      <c r="H27" s="23"/>
      <c r="I27" s="23"/>
      <c r="J27" s="23"/>
      <c r="K27" s="201"/>
      <c r="L27" s="189"/>
      <c r="M27" s="196">
        <f t="shared" si="1"/>
        <v>1500</v>
      </c>
      <c r="N27" s="192"/>
      <c r="O27" s="173"/>
      <c r="P27" s="173"/>
      <c r="Q27" s="173"/>
      <c r="R27" s="173">
        <f t="shared" si="2"/>
        <v>18750</v>
      </c>
      <c r="S27" s="173"/>
      <c r="T27" s="173">
        <f t="shared" si="3"/>
        <v>0</v>
      </c>
      <c r="U27" s="174">
        <f t="shared" si="4"/>
        <v>-18750</v>
      </c>
    </row>
    <row r="28" spans="2:21" ht="30" customHeight="1" x14ac:dyDescent="0.45">
      <c r="B28" s="27">
        <v>43069</v>
      </c>
      <c r="C28" s="17"/>
      <c r="D28" s="198">
        <v>150</v>
      </c>
      <c r="E28" s="173">
        <v>115</v>
      </c>
      <c r="F28" s="175"/>
      <c r="G28" s="167">
        <f t="shared" si="5"/>
        <v>17250</v>
      </c>
      <c r="H28" s="23"/>
      <c r="I28" s="23"/>
      <c r="J28" s="23"/>
      <c r="K28" s="201"/>
      <c r="L28" s="189"/>
      <c r="M28" s="196">
        <f t="shared" si="1"/>
        <v>1500</v>
      </c>
      <c r="N28" s="192"/>
      <c r="O28" s="173"/>
      <c r="P28" s="173"/>
      <c r="Q28" s="173"/>
      <c r="R28" s="173">
        <f t="shared" si="2"/>
        <v>18750</v>
      </c>
      <c r="S28" s="173"/>
      <c r="T28" s="173">
        <f t="shared" si="3"/>
        <v>0</v>
      </c>
      <c r="U28" s="174">
        <f t="shared" si="4"/>
        <v>-18750</v>
      </c>
    </row>
    <row r="29" spans="2:21" ht="30" customHeight="1" x14ac:dyDescent="0.45">
      <c r="B29" s="27">
        <v>43070</v>
      </c>
      <c r="C29" s="17"/>
      <c r="D29" s="198">
        <v>150</v>
      </c>
      <c r="E29" s="173">
        <v>115</v>
      </c>
      <c r="F29" s="175"/>
      <c r="G29" s="167">
        <f t="shared" si="5"/>
        <v>17250</v>
      </c>
      <c r="H29" s="23"/>
      <c r="I29" s="23"/>
      <c r="J29" s="23"/>
      <c r="K29" s="201"/>
      <c r="L29" s="189"/>
      <c r="M29" s="196">
        <f t="shared" si="1"/>
        <v>1500</v>
      </c>
      <c r="N29" s="192"/>
      <c r="O29" s="173"/>
      <c r="P29" s="173"/>
      <c r="Q29" s="173"/>
      <c r="R29" s="173">
        <f t="shared" si="2"/>
        <v>18750</v>
      </c>
      <c r="S29" s="173"/>
      <c r="T29" s="173">
        <f t="shared" si="3"/>
        <v>0</v>
      </c>
      <c r="U29" s="174">
        <f t="shared" si="4"/>
        <v>-18750</v>
      </c>
    </row>
    <row r="30" spans="2:21" ht="30" customHeight="1" x14ac:dyDescent="0.45">
      <c r="B30" s="27">
        <v>43071</v>
      </c>
      <c r="C30" s="17"/>
      <c r="D30" s="198">
        <v>150</v>
      </c>
      <c r="E30" s="173">
        <v>115</v>
      </c>
      <c r="F30" s="175"/>
      <c r="G30" s="167">
        <f t="shared" si="5"/>
        <v>17250</v>
      </c>
      <c r="H30" s="23"/>
      <c r="I30" s="23"/>
      <c r="J30" s="23"/>
      <c r="K30" s="201"/>
      <c r="L30" s="189"/>
      <c r="M30" s="196">
        <f t="shared" si="1"/>
        <v>1500</v>
      </c>
      <c r="N30" s="192"/>
      <c r="O30" s="173"/>
      <c r="P30" s="173"/>
      <c r="Q30" s="173"/>
      <c r="R30" s="173">
        <f t="shared" si="2"/>
        <v>18750</v>
      </c>
      <c r="S30" s="173"/>
      <c r="T30" s="173">
        <f t="shared" si="3"/>
        <v>0</v>
      </c>
      <c r="U30" s="174">
        <f t="shared" si="4"/>
        <v>-18750</v>
      </c>
    </row>
    <row r="31" spans="2:21" s="26" customFormat="1" ht="30" customHeight="1" x14ac:dyDescent="0.45">
      <c r="B31" s="27">
        <v>43072</v>
      </c>
      <c r="C31" s="23"/>
      <c r="D31" s="198">
        <v>150</v>
      </c>
      <c r="E31" s="173">
        <v>115</v>
      </c>
      <c r="F31" s="175"/>
      <c r="G31" s="168">
        <f t="shared" si="5"/>
        <v>17250</v>
      </c>
      <c r="H31" s="23"/>
      <c r="I31" s="23"/>
      <c r="J31" s="23"/>
      <c r="K31" s="201"/>
      <c r="L31" s="189"/>
      <c r="M31" s="196">
        <f t="shared" si="1"/>
        <v>1500</v>
      </c>
      <c r="N31" s="193"/>
      <c r="O31" s="173"/>
      <c r="P31" s="173"/>
      <c r="Q31" s="173"/>
      <c r="R31" s="173">
        <f t="shared" si="2"/>
        <v>18750</v>
      </c>
      <c r="S31" s="173"/>
      <c r="T31" s="173">
        <f t="shared" si="3"/>
        <v>0</v>
      </c>
      <c r="U31" s="174">
        <f t="shared" si="4"/>
        <v>-18750</v>
      </c>
    </row>
    <row r="32" spans="2:21" ht="30" customHeight="1" x14ac:dyDescent="0.45">
      <c r="B32" s="27">
        <v>43073</v>
      </c>
      <c r="C32" s="17"/>
      <c r="D32" s="198">
        <v>150</v>
      </c>
      <c r="E32" s="173">
        <v>115</v>
      </c>
      <c r="F32" s="175"/>
      <c r="G32" s="167">
        <f t="shared" si="5"/>
        <v>17250</v>
      </c>
      <c r="H32" s="23"/>
      <c r="I32" s="23"/>
      <c r="J32" s="23"/>
      <c r="K32" s="201"/>
      <c r="L32" s="189"/>
      <c r="M32" s="196">
        <f t="shared" si="1"/>
        <v>1500</v>
      </c>
      <c r="N32" s="192"/>
      <c r="O32" s="173"/>
      <c r="P32" s="173"/>
      <c r="Q32" s="173"/>
      <c r="R32" s="173">
        <f t="shared" si="2"/>
        <v>18750</v>
      </c>
      <c r="S32" s="173"/>
      <c r="T32" s="173">
        <f t="shared" si="3"/>
        <v>0</v>
      </c>
      <c r="U32" s="174">
        <f t="shared" si="4"/>
        <v>-18750</v>
      </c>
    </row>
    <row r="33" spans="2:21" ht="30" customHeight="1" x14ac:dyDescent="0.45">
      <c r="B33" s="27">
        <v>43074</v>
      </c>
      <c r="C33" s="53"/>
      <c r="D33" s="198">
        <v>150</v>
      </c>
      <c r="E33" s="173">
        <v>115</v>
      </c>
      <c r="F33" s="183"/>
      <c r="G33" s="169">
        <f t="shared" si="5"/>
        <v>17250</v>
      </c>
      <c r="H33" s="52"/>
      <c r="I33" s="52"/>
      <c r="J33" s="52"/>
      <c r="K33" s="202"/>
      <c r="L33" s="189"/>
      <c r="M33" s="196">
        <f t="shared" si="1"/>
        <v>1500</v>
      </c>
      <c r="N33" s="192"/>
      <c r="O33" s="173"/>
      <c r="P33" s="173"/>
      <c r="Q33" s="173"/>
      <c r="R33" s="173">
        <f t="shared" si="2"/>
        <v>18750</v>
      </c>
      <c r="S33" s="173"/>
      <c r="T33" s="173">
        <f t="shared" si="3"/>
        <v>0</v>
      </c>
      <c r="U33" s="174">
        <f t="shared" si="4"/>
        <v>-18750</v>
      </c>
    </row>
    <row r="34" spans="2:21" ht="30" customHeight="1" x14ac:dyDescent="0.45">
      <c r="B34" s="27">
        <v>43075</v>
      </c>
      <c r="C34" s="17"/>
      <c r="D34" s="198">
        <v>150</v>
      </c>
      <c r="E34" s="173">
        <v>115</v>
      </c>
      <c r="F34" s="175"/>
      <c r="G34" s="167">
        <f t="shared" si="5"/>
        <v>17250</v>
      </c>
      <c r="H34" s="23"/>
      <c r="I34" s="23"/>
      <c r="J34" s="23"/>
      <c r="K34" s="201"/>
      <c r="L34" s="189"/>
      <c r="M34" s="196">
        <f t="shared" si="1"/>
        <v>1500</v>
      </c>
      <c r="N34" s="192"/>
      <c r="O34" s="173"/>
      <c r="P34" s="173"/>
      <c r="Q34" s="173"/>
      <c r="R34" s="173">
        <f t="shared" si="2"/>
        <v>18750</v>
      </c>
      <c r="S34" s="173"/>
      <c r="T34" s="173">
        <f t="shared" si="3"/>
        <v>0</v>
      </c>
      <c r="U34" s="174">
        <f t="shared" si="4"/>
        <v>-18750</v>
      </c>
    </row>
    <row r="35" spans="2:21" ht="30" customHeight="1" x14ac:dyDescent="0.45">
      <c r="B35" s="27">
        <v>43076</v>
      </c>
      <c r="C35" s="51"/>
      <c r="D35" s="198">
        <v>150</v>
      </c>
      <c r="E35" s="173">
        <v>115</v>
      </c>
      <c r="F35" s="175"/>
      <c r="G35" s="167">
        <f t="shared" si="5"/>
        <v>17250</v>
      </c>
      <c r="H35" s="23"/>
      <c r="I35" s="23"/>
      <c r="J35" s="23"/>
      <c r="K35" s="201"/>
      <c r="L35" s="189"/>
      <c r="M35" s="196">
        <f t="shared" si="1"/>
        <v>1500</v>
      </c>
      <c r="N35" s="192"/>
      <c r="O35" s="173"/>
      <c r="P35" s="173"/>
      <c r="Q35" s="173"/>
      <c r="R35" s="173">
        <f t="shared" si="2"/>
        <v>18750</v>
      </c>
      <c r="S35" s="173"/>
      <c r="T35" s="173">
        <f t="shared" si="3"/>
        <v>0</v>
      </c>
      <c r="U35" s="174">
        <f t="shared" si="4"/>
        <v>-18750</v>
      </c>
    </row>
    <row r="36" spans="2:21" ht="30" customHeight="1" x14ac:dyDescent="0.45">
      <c r="B36" s="27">
        <v>43077</v>
      </c>
      <c r="C36" s="51"/>
      <c r="D36" s="198">
        <v>150</v>
      </c>
      <c r="E36" s="173">
        <v>115</v>
      </c>
      <c r="F36" s="175"/>
      <c r="G36" s="167">
        <f t="shared" si="5"/>
        <v>17250</v>
      </c>
      <c r="H36" s="23"/>
      <c r="I36" s="23"/>
      <c r="J36" s="23"/>
      <c r="K36" s="201"/>
      <c r="L36" s="189"/>
      <c r="M36" s="196">
        <f t="shared" si="1"/>
        <v>1500</v>
      </c>
      <c r="N36" s="192"/>
      <c r="O36" s="173"/>
      <c r="P36" s="173"/>
      <c r="Q36" s="173"/>
      <c r="R36" s="173">
        <f t="shared" si="2"/>
        <v>18750</v>
      </c>
      <c r="S36" s="173"/>
      <c r="T36" s="173">
        <f t="shared" si="3"/>
        <v>0</v>
      </c>
      <c r="U36" s="174">
        <f t="shared" si="4"/>
        <v>-18750</v>
      </c>
    </row>
    <row r="37" spans="2:21" ht="30" customHeight="1" x14ac:dyDescent="0.45">
      <c r="B37" s="27">
        <v>43078</v>
      </c>
      <c r="C37" s="51"/>
      <c r="D37" s="198">
        <v>150</v>
      </c>
      <c r="E37" s="173">
        <v>115</v>
      </c>
      <c r="F37" s="175"/>
      <c r="G37" s="205">
        <f t="shared" si="5"/>
        <v>17250</v>
      </c>
      <c r="H37" s="23"/>
      <c r="I37" s="23"/>
      <c r="J37" s="23"/>
      <c r="K37" s="201"/>
      <c r="L37" s="189"/>
      <c r="M37" s="196">
        <f>10*D37</f>
        <v>1500</v>
      </c>
      <c r="N37" s="192"/>
      <c r="O37" s="173"/>
      <c r="P37" s="173"/>
      <c r="Q37" s="173"/>
      <c r="R37" s="173">
        <f t="shared" si="2"/>
        <v>18750</v>
      </c>
      <c r="S37" s="173"/>
      <c r="T37" s="173">
        <f t="shared" si="3"/>
        <v>0</v>
      </c>
      <c r="U37" s="174">
        <f t="shared" si="4"/>
        <v>-18750</v>
      </c>
    </row>
    <row r="38" spans="2:21" ht="30" customHeight="1" thickBot="1" x14ac:dyDescent="0.5">
      <c r="B38" s="60">
        <v>43079</v>
      </c>
      <c r="C38" s="54"/>
      <c r="D38" s="198">
        <v>150</v>
      </c>
      <c r="E38" s="173">
        <v>115</v>
      </c>
      <c r="F38" s="184"/>
      <c r="G38" s="170">
        <f t="shared" si="5"/>
        <v>17250</v>
      </c>
      <c r="H38" s="28"/>
      <c r="I38" s="28"/>
      <c r="J38" s="28"/>
      <c r="K38" s="203"/>
      <c r="L38" s="190"/>
      <c r="M38" s="197">
        <f t="shared" si="1"/>
        <v>1500</v>
      </c>
      <c r="N38" s="194"/>
      <c r="O38" s="176"/>
      <c r="P38" s="176"/>
      <c r="Q38" s="176"/>
      <c r="R38" s="176">
        <f t="shared" si="2"/>
        <v>18750</v>
      </c>
      <c r="S38" s="176"/>
      <c r="T38" s="176">
        <f t="shared" si="3"/>
        <v>0</v>
      </c>
      <c r="U38" s="177">
        <f t="shared" si="4"/>
        <v>-18750</v>
      </c>
    </row>
    <row r="39" spans="2:21" ht="30" customHeight="1" thickBot="1" x14ac:dyDescent="0.5">
      <c r="B39" s="50"/>
      <c r="C39" s="51"/>
      <c r="D39" s="51"/>
      <c r="E39" s="51"/>
      <c r="F39" s="51"/>
      <c r="G39" s="51"/>
      <c r="H39" s="51"/>
      <c r="I39" s="51"/>
      <c r="J39" s="51"/>
      <c r="K39" s="51"/>
      <c r="L39" s="178"/>
      <c r="M39" s="178"/>
      <c r="N39" s="178"/>
      <c r="O39" s="178"/>
      <c r="P39" s="178"/>
      <c r="Q39" s="178"/>
      <c r="R39" s="178"/>
      <c r="S39" s="178"/>
      <c r="T39" s="178"/>
      <c r="U39" s="179"/>
    </row>
    <row r="40" spans="2:21" ht="30" customHeight="1" thickBot="1" x14ac:dyDescent="0.5">
      <c r="B40" s="274" t="s">
        <v>12</v>
      </c>
      <c r="C40" s="275"/>
      <c r="D40" s="180">
        <f>SUM(D4:D38)</f>
        <v>5250</v>
      </c>
      <c r="E40" s="181">
        <v>75</v>
      </c>
      <c r="F40" s="180"/>
      <c r="G40" s="181">
        <f t="shared" si="5"/>
        <v>393750</v>
      </c>
      <c r="H40" s="180">
        <f>SUM(H4:H38)</f>
        <v>0</v>
      </c>
      <c r="I40" s="180">
        <f t="shared" ref="I40:Q40" si="6">SUM(I4:I38)</f>
        <v>0</v>
      </c>
      <c r="J40" s="180">
        <f t="shared" si="6"/>
        <v>0</v>
      </c>
      <c r="K40" s="180">
        <f t="shared" si="6"/>
        <v>5000</v>
      </c>
      <c r="L40" s="181">
        <f t="shared" si="6"/>
        <v>20000</v>
      </c>
      <c r="M40" s="180">
        <f t="shared" si="6"/>
        <v>86000</v>
      </c>
      <c r="N40" s="180">
        <f t="shared" si="6"/>
        <v>15000</v>
      </c>
      <c r="O40" s="181">
        <f t="shared" si="6"/>
        <v>5000</v>
      </c>
      <c r="P40" s="180">
        <f t="shared" si="6"/>
        <v>20000</v>
      </c>
      <c r="Q40" s="180">
        <f t="shared" si="6"/>
        <v>40000</v>
      </c>
      <c r="R40" s="180">
        <f>G40+H40+I40+J40+K40+L40+M40+N40+O40+P40+Q40</f>
        <v>584750</v>
      </c>
      <c r="S40" s="181">
        <v>100</v>
      </c>
      <c r="T40" s="180">
        <f>S40*D40</f>
        <v>525000</v>
      </c>
      <c r="U40" s="182">
        <f>T40-R40</f>
        <v>-59750</v>
      </c>
    </row>
    <row r="41" spans="2:21" ht="30" customHeight="1" x14ac:dyDescent="0.45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282" t="s">
        <v>170</v>
      </c>
      <c r="M41" s="283"/>
      <c r="N41" s="284"/>
      <c r="O41" s="15"/>
      <c r="P41" s="15"/>
      <c r="Q41" s="15"/>
      <c r="R41" s="15"/>
      <c r="S41" s="15"/>
      <c r="T41" s="15"/>
      <c r="U41" s="15"/>
    </row>
    <row r="42" spans="2:21" ht="30" customHeight="1" x14ac:dyDescent="0.45">
      <c r="B42" s="14"/>
      <c r="C42" s="17"/>
      <c r="D42" s="53"/>
      <c r="E42" s="279"/>
      <c r="F42" s="280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 spans="2:21" ht="30" customHeight="1" x14ac:dyDescent="0.45">
      <c r="B43" s="14"/>
      <c r="C43" s="187"/>
      <c r="D43" s="51"/>
      <c r="E43" s="281"/>
      <c r="F43" s="281"/>
      <c r="G43" s="51"/>
      <c r="H43" s="51"/>
      <c r="I43" s="51"/>
      <c r="J43" s="51"/>
      <c r="K43" s="51"/>
      <c r="L43" s="211"/>
      <c r="M43" s="211"/>
      <c r="N43" s="51"/>
      <c r="O43" s="51"/>
      <c r="P43" s="51"/>
      <c r="Q43" s="51"/>
      <c r="R43" s="51"/>
      <c r="S43" s="51"/>
      <c r="T43" s="51"/>
      <c r="U43" s="51"/>
    </row>
    <row r="44" spans="2:21" ht="30" customHeight="1" x14ac:dyDescent="0.3">
      <c r="O44" s="53"/>
    </row>
    <row r="45" spans="2:21" ht="30" customHeight="1" x14ac:dyDescent="0.65">
      <c r="E45" s="206" t="s">
        <v>133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</row>
    <row r="46" spans="2:21" ht="30" customHeight="1" x14ac:dyDescent="0.7">
      <c r="E46" s="186"/>
      <c r="F46" s="273" t="s">
        <v>144</v>
      </c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</row>
    <row r="47" spans="2:21" ht="30" customHeight="1" x14ac:dyDescent="0.7">
      <c r="E47" s="186"/>
      <c r="F47" s="209" t="s">
        <v>143</v>
      </c>
      <c r="G47" s="209"/>
      <c r="H47" s="209"/>
      <c r="I47" s="209"/>
      <c r="J47" s="209"/>
      <c r="K47" s="209"/>
      <c r="L47" s="209"/>
      <c r="M47" s="209"/>
      <c r="N47" s="209"/>
      <c r="O47" s="204"/>
      <c r="P47" s="204"/>
      <c r="Q47" s="204"/>
      <c r="R47" s="204"/>
      <c r="S47" s="210"/>
      <c r="T47" s="210"/>
      <c r="U47" s="210"/>
    </row>
    <row r="48" spans="2:21" ht="30" customHeight="1" x14ac:dyDescent="0.7">
      <c r="E48" s="186"/>
      <c r="F48" s="273" t="s">
        <v>145</v>
      </c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</row>
    <row r="49" spans="5:21" ht="30" customHeight="1" x14ac:dyDescent="0.7">
      <c r="E49" s="186"/>
      <c r="F49" s="273" t="s">
        <v>146</v>
      </c>
      <c r="G49" s="273"/>
      <c r="H49" s="273"/>
      <c r="I49" s="273"/>
      <c r="J49" s="273"/>
      <c r="K49" s="273"/>
      <c r="L49" s="273"/>
      <c r="M49" s="273"/>
      <c r="N49" s="273"/>
      <c r="O49" s="204"/>
      <c r="P49" s="204"/>
      <c r="Q49" s="204"/>
      <c r="R49" s="204"/>
      <c r="S49" s="210"/>
      <c r="T49" s="210"/>
      <c r="U49" s="210"/>
    </row>
    <row r="50" spans="5:21" ht="30" customHeight="1" x14ac:dyDescent="0.7">
      <c r="F50" s="273" t="s">
        <v>147</v>
      </c>
      <c r="G50" s="273"/>
      <c r="H50" s="273"/>
      <c r="I50" s="273"/>
      <c r="J50" s="273"/>
      <c r="K50" s="273"/>
      <c r="L50" s="273"/>
      <c r="M50" s="273"/>
      <c r="N50" s="273"/>
      <c r="O50" s="210"/>
      <c r="P50" s="210"/>
      <c r="Q50" s="210"/>
      <c r="R50" s="210"/>
      <c r="S50" s="210"/>
      <c r="T50" s="210"/>
      <c r="U50" s="210"/>
    </row>
    <row r="51" spans="5:21" ht="30" customHeight="1" x14ac:dyDescent="0.3"/>
    <row r="52" spans="5:21" ht="30" customHeight="1" x14ac:dyDescent="0.5">
      <c r="M52" s="212"/>
    </row>
    <row r="53" spans="5:21" ht="30" customHeight="1" x14ac:dyDescent="0.5">
      <c r="M53" s="212"/>
    </row>
    <row r="54" spans="5:21" ht="30" customHeight="1" x14ac:dyDescent="0.5">
      <c r="M54" s="212"/>
    </row>
    <row r="55" spans="5:21" ht="30" customHeight="1" x14ac:dyDescent="0.5">
      <c r="M55" s="212"/>
    </row>
    <row r="56" spans="5:21" ht="30" customHeight="1" x14ac:dyDescent="0.5">
      <c r="M56" s="212"/>
    </row>
    <row r="57" spans="5:21" ht="30" customHeight="1" x14ac:dyDescent="0.5">
      <c r="M57" s="212"/>
    </row>
    <row r="58" spans="5:21" ht="30" customHeight="1" x14ac:dyDescent="0.5">
      <c r="M58" s="212"/>
    </row>
    <row r="59" spans="5:21" ht="30" customHeight="1" x14ac:dyDescent="0.5">
      <c r="M59" s="212"/>
    </row>
    <row r="60" spans="5:21" ht="30" customHeight="1" x14ac:dyDescent="0.5">
      <c r="M60" s="212"/>
    </row>
    <row r="61" spans="5:21" ht="30" customHeight="1" x14ac:dyDescent="0.5">
      <c r="M61" s="212"/>
    </row>
    <row r="62" spans="5:21" ht="30" customHeight="1" x14ac:dyDescent="0.5">
      <c r="M62" s="212"/>
    </row>
    <row r="63" spans="5:21" ht="30" customHeight="1" x14ac:dyDescent="0.5">
      <c r="M63" s="212"/>
    </row>
    <row r="64" spans="5:21" ht="30" customHeight="1" x14ac:dyDescent="0.5">
      <c r="M64" s="212"/>
    </row>
    <row r="65" spans="13:13" ht="30" customHeight="1" x14ac:dyDescent="0.5">
      <c r="M65" s="212"/>
    </row>
    <row r="66" spans="13:13" ht="30" customHeight="1" x14ac:dyDescent="0.5">
      <c r="M66" s="212"/>
    </row>
    <row r="67" spans="13:13" ht="30" customHeight="1" x14ac:dyDescent="0.5">
      <c r="M67" s="212"/>
    </row>
    <row r="68" spans="13:13" ht="30" customHeight="1" x14ac:dyDescent="0.5">
      <c r="M68" s="212"/>
    </row>
    <row r="69" spans="13:13" ht="30" customHeight="1" x14ac:dyDescent="0.5">
      <c r="M69" s="212"/>
    </row>
    <row r="70" spans="13:13" ht="30" customHeight="1" x14ac:dyDescent="0.5">
      <c r="M70" s="212"/>
    </row>
    <row r="71" spans="13:13" ht="30" customHeight="1" x14ac:dyDescent="0.5">
      <c r="M71" s="212"/>
    </row>
    <row r="72" spans="13:13" ht="30" customHeight="1" x14ac:dyDescent="0.5">
      <c r="M72" s="212"/>
    </row>
    <row r="73" spans="13:13" ht="30" customHeight="1" x14ac:dyDescent="0.3"/>
    <row r="74" spans="13:13" ht="30" customHeight="1" x14ac:dyDescent="0.3"/>
    <row r="75" spans="13:13" ht="30" customHeight="1" x14ac:dyDescent="0.3"/>
    <row r="76" spans="13:13" ht="30" customHeight="1" x14ac:dyDescent="0.3"/>
    <row r="77" spans="13:13" ht="30" customHeight="1" x14ac:dyDescent="0.3"/>
    <row r="78" spans="13:13" ht="30" customHeight="1" x14ac:dyDescent="0.3"/>
    <row r="79" spans="13:13" ht="30" customHeight="1" x14ac:dyDescent="0.3"/>
    <row r="80" spans="13:13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</sheetData>
  <mergeCells count="10">
    <mergeCell ref="F48:U48"/>
    <mergeCell ref="F49:N49"/>
    <mergeCell ref="F50:N50"/>
    <mergeCell ref="L41:N41"/>
    <mergeCell ref="B2:R2"/>
    <mergeCell ref="S2:U2"/>
    <mergeCell ref="B40:C40"/>
    <mergeCell ref="E42:F42"/>
    <mergeCell ref="E43:F43"/>
    <mergeCell ref="F46:U46"/>
  </mergeCells>
  <pageMargins left="0" right="0" top="0" bottom="0.75" header="0.3" footer="0.3"/>
  <pageSetup scale="4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4"/>
  <sheetViews>
    <sheetView workbookViewId="0">
      <selection activeCell="H6" sqref="H6"/>
    </sheetView>
  </sheetViews>
  <sheetFormatPr defaultRowHeight="14.4" x14ac:dyDescent="0.3"/>
  <cols>
    <col min="1" max="1" width="20.5546875" style="213" bestFit="1" customWidth="1"/>
    <col min="2" max="2" width="9.44140625" style="213" bestFit="1" customWidth="1"/>
    <col min="3" max="3" width="10.88671875" style="213" bestFit="1" customWidth="1"/>
    <col min="4" max="4" width="11" bestFit="1" customWidth="1"/>
    <col min="5" max="5" width="9" bestFit="1" customWidth="1"/>
    <col min="6" max="6" width="19.5546875" bestFit="1" customWidth="1"/>
    <col min="7" max="7" width="14.6640625" bestFit="1" customWidth="1"/>
    <col min="8" max="8" width="17.109375" bestFit="1" customWidth="1"/>
    <col min="9" max="9" width="12.6640625" bestFit="1" customWidth="1"/>
    <col min="10" max="10" width="10.88671875" bestFit="1" customWidth="1"/>
    <col min="11" max="11" width="13" bestFit="1" customWidth="1"/>
    <col min="12" max="12" width="14.109375" customWidth="1"/>
    <col min="13" max="14" width="15.6640625" customWidth="1"/>
    <col min="15" max="16" width="16.5546875" customWidth="1"/>
    <col min="17" max="20" width="15.6640625" customWidth="1"/>
  </cols>
  <sheetData>
    <row r="1" spans="1:17" ht="29.25" customHeight="1" x14ac:dyDescent="0.3"/>
    <row r="2" spans="1:17" ht="30" customHeight="1" thickBot="1" x14ac:dyDescent="0.35"/>
    <row r="3" spans="1:17" ht="53.25" customHeight="1" thickBot="1" x14ac:dyDescent="0.45">
      <c r="A3" s="215" t="s">
        <v>148</v>
      </c>
      <c r="B3" s="219" t="s">
        <v>1</v>
      </c>
      <c r="C3" s="219" t="s">
        <v>156</v>
      </c>
      <c r="D3" s="214" t="s">
        <v>151</v>
      </c>
      <c r="E3" s="214" t="s">
        <v>150</v>
      </c>
      <c r="F3" s="214" t="s">
        <v>152</v>
      </c>
      <c r="G3" s="214" t="s">
        <v>149</v>
      </c>
      <c r="H3" s="214" t="s">
        <v>157</v>
      </c>
      <c r="I3" s="214" t="s">
        <v>153</v>
      </c>
      <c r="J3" s="218" t="s">
        <v>154</v>
      </c>
      <c r="K3" s="216" t="s">
        <v>155</v>
      </c>
      <c r="L3" s="216" t="s">
        <v>164</v>
      </c>
      <c r="M3" s="217" t="s">
        <v>12</v>
      </c>
      <c r="N3" s="216" t="s">
        <v>160</v>
      </c>
      <c r="O3" s="217" t="s">
        <v>161</v>
      </c>
      <c r="P3" s="221" t="s">
        <v>163</v>
      </c>
      <c r="Q3" s="220" t="s">
        <v>162</v>
      </c>
    </row>
    <row r="4" spans="1:17" s="228" customFormat="1" ht="39.9" customHeight="1" x14ac:dyDescent="0.45">
      <c r="A4" s="222" t="s">
        <v>178</v>
      </c>
      <c r="B4" s="223">
        <v>8</v>
      </c>
      <c r="C4" s="224">
        <v>164</v>
      </c>
      <c r="D4" s="49">
        <v>250</v>
      </c>
      <c r="E4" s="49">
        <v>3.8</v>
      </c>
      <c r="F4" s="49">
        <f>D4*E4</f>
        <v>950</v>
      </c>
      <c r="G4" s="49">
        <v>350</v>
      </c>
      <c r="H4" s="49">
        <v>80</v>
      </c>
      <c r="I4" s="49">
        <v>0</v>
      </c>
      <c r="J4" s="225">
        <v>0</v>
      </c>
      <c r="K4" s="225"/>
      <c r="L4" s="225">
        <v>75</v>
      </c>
      <c r="M4" s="226">
        <f>F4+G4+H4+I4+J4+K4+L4</f>
        <v>1455</v>
      </c>
      <c r="N4" s="225">
        <v>1700</v>
      </c>
      <c r="O4" s="226">
        <f>N4-M4</f>
        <v>245</v>
      </c>
      <c r="P4" s="49">
        <v>164</v>
      </c>
      <c r="Q4" s="227">
        <f>O4*P4</f>
        <v>40180</v>
      </c>
    </row>
    <row r="5" spans="1:17" s="228" customFormat="1" ht="39.9" customHeight="1" x14ac:dyDescent="0.45">
      <c r="A5" s="229" t="s">
        <v>158</v>
      </c>
      <c r="B5" s="230"/>
      <c r="C5" s="231"/>
      <c r="D5" s="230"/>
      <c r="E5" s="230"/>
      <c r="F5" s="232"/>
      <c r="G5" s="230"/>
      <c r="H5" s="230"/>
      <c r="I5" s="230"/>
      <c r="J5" s="233"/>
      <c r="K5" s="233"/>
      <c r="L5" s="233"/>
      <c r="M5" s="230"/>
      <c r="N5" s="233"/>
      <c r="O5" s="233"/>
      <c r="P5" s="230"/>
      <c r="Q5" s="234"/>
    </row>
    <row r="6" spans="1:17" s="228" customFormat="1" ht="39.9" customHeight="1" x14ac:dyDescent="0.45">
      <c r="A6" s="229" t="s">
        <v>159</v>
      </c>
      <c r="B6" s="232">
        <v>1000</v>
      </c>
      <c r="C6" s="235">
        <f>B6/E6</f>
        <v>263.15789473684214</v>
      </c>
      <c r="D6" s="230"/>
      <c r="E6" s="230">
        <v>3.8</v>
      </c>
      <c r="F6" s="230"/>
      <c r="G6" s="230">
        <v>140</v>
      </c>
      <c r="H6" s="230"/>
      <c r="I6" s="230"/>
      <c r="J6" s="230">
        <v>15</v>
      </c>
      <c r="K6" s="230"/>
      <c r="L6" s="230"/>
      <c r="M6" s="230"/>
      <c r="N6" s="230"/>
      <c r="O6" s="230"/>
      <c r="P6" s="230"/>
      <c r="Q6" s="236"/>
    </row>
    <row r="7" spans="1:17" s="228" customFormat="1" ht="39.9" customHeight="1" thickBot="1" x14ac:dyDescent="0.5">
      <c r="A7" s="237"/>
      <c r="B7" s="238"/>
      <c r="C7" s="238"/>
      <c r="D7" s="239"/>
      <c r="E7" s="239"/>
      <c r="F7" s="240"/>
      <c r="G7" s="240"/>
      <c r="H7" s="240"/>
      <c r="I7" s="240"/>
      <c r="J7" s="241"/>
      <c r="K7" s="241"/>
      <c r="L7" s="241"/>
      <c r="M7" s="239"/>
      <c r="N7" s="241"/>
      <c r="O7" s="239"/>
      <c r="P7" s="240"/>
      <c r="Q7" s="242"/>
    </row>
    <row r="8" spans="1:17" s="228" customFormat="1" ht="39.9" customHeight="1" x14ac:dyDescent="0.45">
      <c r="A8" s="243" t="s">
        <v>165</v>
      </c>
      <c r="B8" s="223">
        <v>650</v>
      </c>
      <c r="C8" s="224">
        <f>B8/E8</f>
        <v>492.42424242424238</v>
      </c>
      <c r="D8" s="223">
        <v>180</v>
      </c>
      <c r="E8" s="49">
        <v>1.32</v>
      </c>
      <c r="F8" s="223">
        <f>D8*E8</f>
        <v>237.60000000000002</v>
      </c>
      <c r="G8" s="223">
        <v>90</v>
      </c>
      <c r="H8" s="223">
        <v>8</v>
      </c>
      <c r="I8" s="223">
        <v>25</v>
      </c>
      <c r="J8" s="226">
        <v>5</v>
      </c>
      <c r="K8" s="226"/>
      <c r="L8" s="226"/>
      <c r="M8" s="49">
        <f t="shared" ref="M5:M13" si="0">F8+G8+H8+I8+J8+K8+L8</f>
        <v>365.6</v>
      </c>
      <c r="N8" s="226">
        <v>400</v>
      </c>
      <c r="O8" s="49">
        <f t="shared" ref="O5:O13" si="1">N8-M8</f>
        <v>34.399999999999977</v>
      </c>
      <c r="P8" s="223">
        <v>492</v>
      </c>
      <c r="Q8" s="244">
        <f t="shared" ref="Q5:Q13" si="2">O8*P8</f>
        <v>16924.799999999988</v>
      </c>
    </row>
    <row r="9" spans="1:17" s="228" customFormat="1" ht="39.9" customHeight="1" x14ac:dyDescent="0.45">
      <c r="A9" s="229" t="s">
        <v>166</v>
      </c>
      <c r="B9" s="230">
        <v>650</v>
      </c>
      <c r="C9" s="231">
        <f t="shared" ref="C9:C13" si="3">B9/E9</f>
        <v>492.42424242424238</v>
      </c>
      <c r="D9" s="230">
        <v>185</v>
      </c>
      <c r="E9" s="230">
        <v>1.32</v>
      </c>
      <c r="F9" s="230">
        <f t="shared" ref="F9:F13" si="4">D9*E9</f>
        <v>244.20000000000002</v>
      </c>
      <c r="G9" s="230">
        <v>90</v>
      </c>
      <c r="H9" s="230">
        <v>8</v>
      </c>
      <c r="I9" s="230">
        <v>25</v>
      </c>
      <c r="J9" s="230">
        <v>5</v>
      </c>
      <c r="K9" s="230"/>
      <c r="L9" s="230"/>
      <c r="M9" s="230">
        <f t="shared" si="0"/>
        <v>372.20000000000005</v>
      </c>
      <c r="N9" s="230">
        <v>400</v>
      </c>
      <c r="O9" s="230">
        <f t="shared" si="1"/>
        <v>27.799999999999955</v>
      </c>
      <c r="P9" s="230">
        <v>492</v>
      </c>
      <c r="Q9" s="236">
        <f t="shared" si="2"/>
        <v>13677.599999999977</v>
      </c>
    </row>
    <row r="10" spans="1:17" s="228" customFormat="1" ht="39.9" customHeight="1" x14ac:dyDescent="0.45">
      <c r="A10" s="229" t="s">
        <v>167</v>
      </c>
      <c r="B10" s="230">
        <v>650</v>
      </c>
      <c r="C10" s="231">
        <f t="shared" si="3"/>
        <v>492.42424242424238</v>
      </c>
      <c r="D10" s="230">
        <v>190</v>
      </c>
      <c r="E10" s="230">
        <v>1.32</v>
      </c>
      <c r="F10" s="230">
        <f t="shared" si="4"/>
        <v>250.8</v>
      </c>
      <c r="G10" s="230">
        <v>90</v>
      </c>
      <c r="H10" s="230">
        <v>8</v>
      </c>
      <c r="I10" s="230">
        <v>25</v>
      </c>
      <c r="J10" s="230">
        <v>5</v>
      </c>
      <c r="K10" s="230"/>
      <c r="L10" s="230"/>
      <c r="M10" s="230">
        <f t="shared" si="0"/>
        <v>378.8</v>
      </c>
      <c r="N10" s="230">
        <v>400</v>
      </c>
      <c r="O10" s="230">
        <f t="shared" si="1"/>
        <v>21.199999999999989</v>
      </c>
      <c r="P10" s="230">
        <v>492</v>
      </c>
      <c r="Q10" s="236">
        <f t="shared" si="2"/>
        <v>10430.399999999994</v>
      </c>
    </row>
    <row r="11" spans="1:17" s="228" customFormat="1" ht="39.9" customHeight="1" thickBot="1" x14ac:dyDescent="0.5">
      <c r="A11" s="245"/>
      <c r="B11" s="246"/>
      <c r="C11" s="247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9"/>
    </row>
    <row r="12" spans="1:17" s="228" customFormat="1" ht="39.9" customHeight="1" x14ac:dyDescent="0.45">
      <c r="A12" s="229" t="s">
        <v>168</v>
      </c>
      <c r="B12" s="223">
        <v>650</v>
      </c>
      <c r="C12" s="250">
        <f t="shared" si="3"/>
        <v>520</v>
      </c>
      <c r="D12" s="223">
        <v>150</v>
      </c>
      <c r="E12" s="49">
        <v>1.25</v>
      </c>
      <c r="F12" s="49">
        <f t="shared" si="4"/>
        <v>187.5</v>
      </c>
      <c r="G12" s="223">
        <v>80</v>
      </c>
      <c r="H12" s="223">
        <v>0</v>
      </c>
      <c r="I12" s="223">
        <v>12</v>
      </c>
      <c r="J12" s="226">
        <v>5</v>
      </c>
      <c r="K12" s="226"/>
      <c r="L12" s="226"/>
      <c r="M12" s="49">
        <f t="shared" si="0"/>
        <v>284.5</v>
      </c>
      <c r="N12" s="226">
        <v>300</v>
      </c>
      <c r="O12" s="49">
        <f t="shared" si="1"/>
        <v>15.5</v>
      </c>
      <c r="P12" s="223">
        <v>520</v>
      </c>
      <c r="Q12" s="244">
        <f t="shared" si="2"/>
        <v>8060</v>
      </c>
    </row>
    <row r="13" spans="1:17" s="228" customFormat="1" ht="39.9" customHeight="1" x14ac:dyDescent="0.45">
      <c r="A13" s="229" t="s">
        <v>169</v>
      </c>
      <c r="B13" s="230">
        <v>650</v>
      </c>
      <c r="C13" s="231">
        <f t="shared" si="3"/>
        <v>520</v>
      </c>
      <c r="D13" s="230">
        <v>150</v>
      </c>
      <c r="E13" s="230">
        <v>1.25</v>
      </c>
      <c r="F13" s="230">
        <f t="shared" si="4"/>
        <v>187.5</v>
      </c>
      <c r="G13" s="230">
        <v>80</v>
      </c>
      <c r="H13" s="230">
        <v>0</v>
      </c>
      <c r="I13" s="230">
        <v>12</v>
      </c>
      <c r="J13" s="230">
        <v>5</v>
      </c>
      <c r="K13" s="230"/>
      <c r="L13" s="230"/>
      <c r="M13" s="230">
        <f t="shared" si="0"/>
        <v>284.5</v>
      </c>
      <c r="N13" s="230">
        <v>300</v>
      </c>
      <c r="O13" s="230">
        <f t="shared" si="1"/>
        <v>15.5</v>
      </c>
      <c r="P13" s="230">
        <v>520</v>
      </c>
      <c r="Q13" s="236">
        <f t="shared" si="2"/>
        <v>8060</v>
      </c>
    </row>
    <row r="14" spans="1:17" s="228" customFormat="1" ht="39.9" customHeight="1" x14ac:dyDescent="0.45">
      <c r="A14" s="229"/>
      <c r="B14" s="230"/>
      <c r="C14" s="231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6"/>
    </row>
    <row r="15" spans="1:17" s="228" customFormat="1" ht="39.9" customHeight="1" thickBot="1" x14ac:dyDescent="0.5">
      <c r="A15" s="237"/>
      <c r="B15" s="251"/>
      <c r="C15" s="251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52"/>
    </row>
    <row r="16" spans="1:17" s="228" customFormat="1" ht="39.9" customHeight="1" x14ac:dyDescent="0.45">
      <c r="A16" s="253"/>
      <c r="B16" s="254"/>
      <c r="C16" s="254"/>
      <c r="D16" s="232"/>
      <c r="E16" s="232"/>
      <c r="F16" s="232"/>
      <c r="G16" s="232"/>
      <c r="H16" s="232"/>
      <c r="I16" s="232"/>
      <c r="J16" s="255"/>
      <c r="K16" s="255"/>
      <c r="L16" s="255"/>
      <c r="M16" s="255"/>
      <c r="N16" s="255"/>
      <c r="O16" s="255"/>
      <c r="P16" s="232"/>
      <c r="Q16" s="256"/>
    </row>
    <row r="17" spans="1:17" s="228" customFormat="1" ht="39.9" customHeight="1" thickBot="1" x14ac:dyDescent="0.5">
      <c r="A17" s="237"/>
      <c r="B17" s="238"/>
      <c r="C17" s="238"/>
      <c r="D17" s="239"/>
      <c r="E17" s="239"/>
      <c r="F17" s="239"/>
      <c r="G17" s="239"/>
      <c r="H17" s="239"/>
      <c r="I17" s="239"/>
      <c r="J17" s="257"/>
      <c r="K17" s="257"/>
      <c r="L17" s="257"/>
      <c r="M17" s="257"/>
      <c r="N17" s="257"/>
      <c r="O17" s="257"/>
      <c r="P17" s="239"/>
      <c r="Q17" s="258"/>
    </row>
    <row r="18" spans="1:17" ht="30" customHeight="1" x14ac:dyDescent="0.3"/>
    <row r="19" spans="1:17" ht="30" customHeight="1" x14ac:dyDescent="0.3"/>
    <row r="20" spans="1:17" ht="30" customHeight="1" x14ac:dyDescent="0.3"/>
    <row r="21" spans="1:17" ht="30" customHeight="1" x14ac:dyDescent="0.3"/>
    <row r="22" spans="1:17" ht="30" customHeight="1" x14ac:dyDescent="0.3"/>
    <row r="23" spans="1:17" ht="30" customHeight="1" x14ac:dyDescent="0.3"/>
    <row r="24" spans="1:17" ht="30" customHeight="1" x14ac:dyDescent="0.3"/>
  </sheetData>
  <pageMargins left="0.3" right="0.7" top="0.75" bottom="0.75" header="0.3" footer="0.3"/>
  <pageSetup paperSize="9" scale="5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36"/>
  <sheetViews>
    <sheetView topLeftCell="A7" workbookViewId="0">
      <selection activeCell="E6" sqref="E6"/>
    </sheetView>
  </sheetViews>
  <sheetFormatPr defaultRowHeight="14.4" x14ac:dyDescent="0.3"/>
  <cols>
    <col min="2" max="2" width="14.109375" bestFit="1" customWidth="1"/>
    <col min="3" max="3" width="15.5546875" bestFit="1" customWidth="1"/>
    <col min="4" max="4" width="11.5546875" bestFit="1" customWidth="1"/>
    <col min="5" max="5" width="15.5546875" bestFit="1" customWidth="1"/>
    <col min="6" max="8" width="15.6640625" customWidth="1"/>
  </cols>
  <sheetData>
    <row r="3" spans="2:7" ht="30" customHeight="1" thickBot="1" x14ac:dyDescent="0.35">
      <c r="B3" s="285" t="s">
        <v>132</v>
      </c>
      <c r="C3" s="285"/>
      <c r="D3" s="285"/>
      <c r="E3" s="285"/>
      <c r="F3" s="285"/>
      <c r="G3" s="285"/>
    </row>
    <row r="4" spans="2:7" ht="30" customHeight="1" thickBot="1" x14ac:dyDescent="0.35">
      <c r="B4" s="158" t="s">
        <v>0</v>
      </c>
      <c r="C4" s="159" t="s">
        <v>3</v>
      </c>
      <c r="D4" s="159" t="s">
        <v>131</v>
      </c>
      <c r="E4" s="159" t="s">
        <v>25</v>
      </c>
      <c r="F4" s="159"/>
      <c r="G4" s="160"/>
    </row>
    <row r="5" spans="2:7" ht="30" customHeight="1" x14ac:dyDescent="0.4">
      <c r="B5" s="155">
        <f>'Daily Progress Sheet'!B4</f>
        <v>43045</v>
      </c>
      <c r="C5" s="156">
        <f>'Daily Progress Sheet'!G4</f>
        <v>975000</v>
      </c>
      <c r="D5" s="156"/>
      <c r="E5" s="156">
        <f>C5-D5</f>
        <v>975000</v>
      </c>
      <c r="F5" s="35"/>
      <c r="G5" s="157"/>
    </row>
    <row r="6" spans="2:7" ht="30" customHeight="1" x14ac:dyDescent="0.4">
      <c r="B6" s="55">
        <f>'Daily Progress Sheet'!B5</f>
        <v>43046</v>
      </c>
      <c r="C6" s="152">
        <f>'Daily Progress Sheet'!G5</f>
        <v>0</v>
      </c>
      <c r="D6" s="152">
        <v>1000</v>
      </c>
      <c r="E6" s="152">
        <f>E5+C6-D6</f>
        <v>974000</v>
      </c>
      <c r="F6" s="38"/>
      <c r="G6" s="11"/>
    </row>
    <row r="7" spans="2:7" ht="30" customHeight="1" x14ac:dyDescent="0.4">
      <c r="B7" s="55">
        <f>'Daily Progress Sheet'!B6</f>
        <v>43047</v>
      </c>
      <c r="C7" s="152">
        <f>'Daily Progress Sheet'!G6</f>
        <v>0</v>
      </c>
      <c r="D7" s="152"/>
      <c r="E7" s="152">
        <f t="shared" ref="E7:E34" si="0">E6+C7-D7</f>
        <v>974000</v>
      </c>
      <c r="F7" s="38"/>
      <c r="G7" s="11"/>
    </row>
    <row r="8" spans="2:7" ht="30" customHeight="1" x14ac:dyDescent="0.4">
      <c r="B8" s="55">
        <f>'Daily Progress Sheet'!B7</f>
        <v>43048</v>
      </c>
      <c r="C8" s="152">
        <f>'Daily Progress Sheet'!G7</f>
        <v>0</v>
      </c>
      <c r="D8" s="152">
        <v>1000</v>
      </c>
      <c r="E8" s="152">
        <f t="shared" si="0"/>
        <v>973000</v>
      </c>
      <c r="F8" s="38"/>
      <c r="G8" s="11"/>
    </row>
    <row r="9" spans="2:7" ht="30" customHeight="1" x14ac:dyDescent="0.4">
      <c r="B9" s="55">
        <f>'Daily Progress Sheet'!B8</f>
        <v>43049</v>
      </c>
      <c r="C9" s="152">
        <f>'Daily Progress Sheet'!G8</f>
        <v>0</v>
      </c>
      <c r="D9" s="152"/>
      <c r="E9" s="152">
        <f>E8+C9-D9</f>
        <v>973000</v>
      </c>
      <c r="F9" s="38"/>
      <c r="G9" s="11"/>
    </row>
    <row r="10" spans="2:7" ht="30" customHeight="1" x14ac:dyDescent="0.4">
      <c r="B10" s="55">
        <f>'Daily Progress Sheet'!B9</f>
        <v>43050</v>
      </c>
      <c r="C10" s="152">
        <f>'Daily Progress Sheet'!G9</f>
        <v>0</v>
      </c>
      <c r="D10" s="152">
        <v>8000</v>
      </c>
      <c r="E10" s="152">
        <f t="shared" si="0"/>
        <v>965000</v>
      </c>
      <c r="F10" s="38"/>
      <c r="G10" s="11"/>
    </row>
    <row r="11" spans="2:7" ht="30" customHeight="1" x14ac:dyDescent="0.4">
      <c r="B11" s="55">
        <f>'Daily Progress Sheet'!B10</f>
        <v>43051</v>
      </c>
      <c r="C11" s="152">
        <f>'Daily Progress Sheet'!G10</f>
        <v>0</v>
      </c>
      <c r="D11" s="152">
        <v>4000</v>
      </c>
      <c r="E11" s="152">
        <f t="shared" si="0"/>
        <v>961000</v>
      </c>
      <c r="F11" s="38"/>
      <c r="G11" s="11"/>
    </row>
    <row r="12" spans="2:7" ht="30" customHeight="1" x14ac:dyDescent="0.4">
      <c r="B12" s="55">
        <f>'Daily Progress Sheet'!B11</f>
        <v>43052</v>
      </c>
      <c r="C12" s="152">
        <f>'Daily Progress Sheet'!G11</f>
        <v>0</v>
      </c>
      <c r="D12" s="152"/>
      <c r="E12" s="152">
        <f t="shared" si="0"/>
        <v>961000</v>
      </c>
      <c r="F12" s="38"/>
      <c r="G12" s="11"/>
    </row>
    <row r="13" spans="2:7" ht="30" customHeight="1" x14ac:dyDescent="0.4">
      <c r="B13" s="55">
        <f>'Daily Progress Sheet'!B12</f>
        <v>43053</v>
      </c>
      <c r="C13" s="152">
        <f>'Daily Progress Sheet'!G12</f>
        <v>0</v>
      </c>
      <c r="D13" s="152"/>
      <c r="E13" s="152">
        <f t="shared" si="0"/>
        <v>961000</v>
      </c>
      <c r="F13" s="38"/>
      <c r="G13" s="11"/>
    </row>
    <row r="14" spans="2:7" ht="30" customHeight="1" x14ac:dyDescent="0.4">
      <c r="B14" s="55">
        <f>'Daily Progress Sheet'!B13</f>
        <v>43054</v>
      </c>
      <c r="C14" s="152">
        <f>'Daily Progress Sheet'!G13</f>
        <v>0</v>
      </c>
      <c r="D14" s="152">
        <v>2000</v>
      </c>
      <c r="E14" s="152">
        <f t="shared" si="0"/>
        <v>959000</v>
      </c>
      <c r="F14" s="38"/>
      <c r="G14" s="11"/>
    </row>
    <row r="15" spans="2:7" ht="30" customHeight="1" x14ac:dyDescent="0.4">
      <c r="B15" s="55">
        <f>'Daily Progress Sheet'!B14</f>
        <v>43055</v>
      </c>
      <c r="C15" s="152">
        <f>'Daily Progress Sheet'!G14</f>
        <v>0</v>
      </c>
      <c r="D15" s="152"/>
      <c r="E15" s="152">
        <f t="shared" si="0"/>
        <v>959000</v>
      </c>
      <c r="F15" s="38"/>
      <c r="G15" s="11"/>
    </row>
    <row r="16" spans="2:7" ht="30" customHeight="1" x14ac:dyDescent="0.4">
      <c r="B16" s="55">
        <f>'Daily Progress Sheet'!B15</f>
        <v>43056</v>
      </c>
      <c r="C16" s="152">
        <f>'Daily Progress Sheet'!G15</f>
        <v>0</v>
      </c>
      <c r="D16" s="152"/>
      <c r="E16" s="152">
        <f t="shared" si="0"/>
        <v>959000</v>
      </c>
      <c r="F16" s="38"/>
      <c r="G16" s="11"/>
    </row>
    <row r="17" spans="2:7" ht="30" customHeight="1" x14ac:dyDescent="0.4">
      <c r="B17" s="55">
        <f>'Daily Progress Sheet'!B16</f>
        <v>43057</v>
      </c>
      <c r="C17" s="152">
        <f>'Daily Progress Sheet'!G16</f>
        <v>0</v>
      </c>
      <c r="D17" s="152"/>
      <c r="E17" s="152">
        <f t="shared" si="0"/>
        <v>959000</v>
      </c>
      <c r="F17" s="38"/>
      <c r="G17" s="11"/>
    </row>
    <row r="18" spans="2:7" ht="30" customHeight="1" x14ac:dyDescent="0.4">
      <c r="B18" s="55">
        <f>'Daily Progress Sheet'!B17</f>
        <v>43058</v>
      </c>
      <c r="C18" s="152">
        <f>'Daily Progress Sheet'!G17</f>
        <v>0</v>
      </c>
      <c r="D18" s="152">
        <v>15000</v>
      </c>
      <c r="E18" s="152">
        <f t="shared" si="0"/>
        <v>944000</v>
      </c>
      <c r="F18" s="38"/>
      <c r="G18" s="11"/>
    </row>
    <row r="19" spans="2:7" ht="30" customHeight="1" x14ac:dyDescent="0.4">
      <c r="B19" s="55">
        <f>'Daily Progress Sheet'!B18</f>
        <v>43059</v>
      </c>
      <c r="C19" s="152">
        <f>'Daily Progress Sheet'!G18</f>
        <v>0</v>
      </c>
      <c r="D19" s="152"/>
      <c r="E19" s="152">
        <f t="shared" si="0"/>
        <v>944000</v>
      </c>
      <c r="F19" s="38"/>
      <c r="G19" s="11"/>
    </row>
    <row r="20" spans="2:7" ht="30" customHeight="1" x14ac:dyDescent="0.4">
      <c r="B20" s="55">
        <f>'Daily Progress Sheet'!B19</f>
        <v>43060</v>
      </c>
      <c r="C20" s="152">
        <f>'Daily Progress Sheet'!G19</f>
        <v>0</v>
      </c>
      <c r="D20" s="152"/>
      <c r="E20" s="152">
        <f t="shared" si="0"/>
        <v>944000</v>
      </c>
      <c r="F20" s="38"/>
      <c r="G20" s="11"/>
    </row>
    <row r="21" spans="2:7" ht="30" customHeight="1" x14ac:dyDescent="0.4">
      <c r="B21" s="55">
        <f>'Daily Progress Sheet'!B20</f>
        <v>43061</v>
      </c>
      <c r="C21" s="152">
        <f>'Daily Progress Sheet'!G20</f>
        <v>0</v>
      </c>
      <c r="D21" s="153"/>
      <c r="E21" s="152">
        <f t="shared" si="0"/>
        <v>944000</v>
      </c>
      <c r="F21" s="10"/>
      <c r="G21" s="11"/>
    </row>
    <row r="22" spans="2:7" ht="30" customHeight="1" x14ac:dyDescent="0.4">
      <c r="B22" s="55">
        <f>'Daily Progress Sheet'!B21</f>
        <v>43062</v>
      </c>
      <c r="C22" s="152">
        <f>'Daily Progress Sheet'!G21</f>
        <v>0</v>
      </c>
      <c r="D22" s="153"/>
      <c r="E22" s="152">
        <f t="shared" si="0"/>
        <v>944000</v>
      </c>
      <c r="F22" s="10"/>
      <c r="G22" s="11"/>
    </row>
    <row r="23" spans="2:7" ht="30" customHeight="1" x14ac:dyDescent="0.4">
      <c r="B23" s="55">
        <f>'Daily Progress Sheet'!B22</f>
        <v>43063</v>
      </c>
      <c r="C23" s="152">
        <f>'Daily Progress Sheet'!G22</f>
        <v>0</v>
      </c>
      <c r="D23" s="153"/>
      <c r="E23" s="152">
        <f t="shared" si="0"/>
        <v>944000</v>
      </c>
      <c r="F23" s="10"/>
      <c r="G23" s="11"/>
    </row>
    <row r="24" spans="2:7" ht="30" customHeight="1" x14ac:dyDescent="0.4">
      <c r="B24" s="55">
        <f>'Daily Progress Sheet'!B23</f>
        <v>43064</v>
      </c>
      <c r="C24" s="152">
        <f>'Daily Progress Sheet'!G23</f>
        <v>0</v>
      </c>
      <c r="D24" s="152"/>
      <c r="E24" s="152">
        <f t="shared" si="0"/>
        <v>944000</v>
      </c>
      <c r="F24" s="38"/>
      <c r="G24" s="11"/>
    </row>
    <row r="25" spans="2:7" ht="30" customHeight="1" x14ac:dyDescent="0.4">
      <c r="B25" s="55">
        <f>'Daily Progress Sheet'!B24</f>
        <v>43065</v>
      </c>
      <c r="C25" s="152">
        <f>'Daily Progress Sheet'!G24</f>
        <v>0</v>
      </c>
      <c r="D25" s="152"/>
      <c r="E25" s="152">
        <f t="shared" si="0"/>
        <v>944000</v>
      </c>
      <c r="F25" s="38"/>
      <c r="G25" s="11"/>
    </row>
    <row r="26" spans="2:7" ht="30" customHeight="1" x14ac:dyDescent="0.4">
      <c r="B26" s="55">
        <f>'Daily Progress Sheet'!B25</f>
        <v>43066</v>
      </c>
      <c r="C26" s="152">
        <f>'Daily Progress Sheet'!G25</f>
        <v>0</v>
      </c>
      <c r="D26" s="153"/>
      <c r="E26" s="152">
        <f t="shared" si="0"/>
        <v>944000</v>
      </c>
      <c r="F26" s="10"/>
      <c r="G26" s="11"/>
    </row>
    <row r="27" spans="2:7" ht="30" customHeight="1" x14ac:dyDescent="0.4">
      <c r="B27" s="55">
        <f>'Daily Progress Sheet'!B26</f>
        <v>43067</v>
      </c>
      <c r="C27" s="152">
        <f>'Daily Progress Sheet'!G26</f>
        <v>0</v>
      </c>
      <c r="D27" s="153"/>
      <c r="E27" s="152">
        <f t="shared" si="0"/>
        <v>944000</v>
      </c>
      <c r="F27" s="10"/>
      <c r="G27" s="11"/>
    </row>
    <row r="28" spans="2:7" ht="30" customHeight="1" x14ac:dyDescent="0.4">
      <c r="B28" s="55">
        <f>'Daily Progress Sheet'!B27</f>
        <v>43068</v>
      </c>
      <c r="C28" s="152">
        <f>'Daily Progress Sheet'!G27</f>
        <v>0</v>
      </c>
      <c r="D28" s="153"/>
      <c r="E28" s="152">
        <f t="shared" si="0"/>
        <v>944000</v>
      </c>
      <c r="F28" s="10"/>
      <c r="G28" s="11"/>
    </row>
    <row r="29" spans="2:7" ht="30" customHeight="1" x14ac:dyDescent="0.4">
      <c r="B29" s="55">
        <f>'Daily Progress Sheet'!B28</f>
        <v>43069</v>
      </c>
      <c r="C29" s="152">
        <f>'Daily Progress Sheet'!G28</f>
        <v>0</v>
      </c>
      <c r="D29" s="153"/>
      <c r="E29" s="152">
        <f t="shared" si="0"/>
        <v>944000</v>
      </c>
      <c r="F29" s="10"/>
      <c r="G29" s="11"/>
    </row>
    <row r="30" spans="2:7" ht="30" customHeight="1" x14ac:dyDescent="0.4">
      <c r="B30" s="55">
        <f>'Daily Progress Sheet'!B29</f>
        <v>43070</v>
      </c>
      <c r="C30" s="152">
        <f>'Daily Progress Sheet'!G29</f>
        <v>0</v>
      </c>
      <c r="D30" s="153"/>
      <c r="E30" s="152">
        <f t="shared" si="0"/>
        <v>944000</v>
      </c>
      <c r="F30" s="10"/>
      <c r="G30" s="11"/>
    </row>
    <row r="31" spans="2:7" ht="30" customHeight="1" x14ac:dyDescent="0.4">
      <c r="B31" s="55">
        <f>'Daily Progress Sheet'!B30</f>
        <v>43071</v>
      </c>
      <c r="C31" s="152">
        <f>'Daily Progress Sheet'!G30</f>
        <v>0</v>
      </c>
      <c r="D31" s="153"/>
      <c r="E31" s="152">
        <f t="shared" si="0"/>
        <v>944000</v>
      </c>
      <c r="F31" s="10"/>
      <c r="G31" s="11"/>
    </row>
    <row r="32" spans="2:7" ht="30" customHeight="1" x14ac:dyDescent="0.4">
      <c r="B32" s="55">
        <f>'Daily Progress Sheet'!B31</f>
        <v>43072</v>
      </c>
      <c r="C32" s="152">
        <f>'Daily Progress Sheet'!G31</f>
        <v>0</v>
      </c>
      <c r="D32" s="153"/>
      <c r="E32" s="152">
        <f t="shared" si="0"/>
        <v>944000</v>
      </c>
      <c r="F32" s="10"/>
      <c r="G32" s="11"/>
    </row>
    <row r="33" spans="2:7" ht="30" customHeight="1" x14ac:dyDescent="0.4">
      <c r="B33" s="55">
        <f>'Daily Progress Sheet'!B32</f>
        <v>43073</v>
      </c>
      <c r="C33" s="152">
        <f>'Daily Progress Sheet'!G32</f>
        <v>0</v>
      </c>
      <c r="D33" s="153"/>
      <c r="E33" s="152">
        <f t="shared" si="0"/>
        <v>944000</v>
      </c>
      <c r="F33" s="10"/>
      <c r="G33" s="11"/>
    </row>
    <row r="34" spans="2:7" ht="30" customHeight="1" x14ac:dyDescent="0.4">
      <c r="B34" s="55">
        <f>'Daily Progress Sheet'!B33</f>
        <v>43074</v>
      </c>
      <c r="C34" s="152">
        <f>'Daily Progress Sheet'!G33</f>
        <v>0</v>
      </c>
      <c r="D34" s="153"/>
      <c r="E34" s="152">
        <f t="shared" si="0"/>
        <v>944000</v>
      </c>
      <c r="F34" s="10"/>
      <c r="G34" s="11"/>
    </row>
    <row r="35" spans="2:7" ht="30" customHeight="1" x14ac:dyDescent="0.4">
      <c r="B35" s="55">
        <v>43070</v>
      </c>
      <c r="C35" s="153"/>
      <c r="D35" s="153"/>
      <c r="E35" s="153"/>
      <c r="F35" s="10"/>
      <c r="G35" s="11"/>
    </row>
    <row r="36" spans="2:7" ht="30" customHeight="1" thickBot="1" x14ac:dyDescent="0.45">
      <c r="B36" s="56">
        <v>43071</v>
      </c>
      <c r="C36" s="154"/>
      <c r="D36" s="161">
        <f>SUM(D5:D35)</f>
        <v>31000</v>
      </c>
      <c r="E36" s="154"/>
      <c r="F36" s="57"/>
      <c r="G36" s="58"/>
    </row>
  </sheetData>
  <mergeCells count="1">
    <mergeCell ref="B3:G3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8"/>
  <sheetViews>
    <sheetView workbookViewId="0">
      <selection activeCell="C67" sqref="C67"/>
    </sheetView>
  </sheetViews>
  <sheetFormatPr defaultRowHeight="14.4" x14ac:dyDescent="0.3"/>
  <cols>
    <col min="2" max="2" width="17.44140625" customWidth="1"/>
    <col min="3" max="3" width="72.109375" customWidth="1"/>
    <col min="4" max="4" width="17.88671875" customWidth="1"/>
    <col min="5" max="11" width="15.6640625" customWidth="1"/>
  </cols>
  <sheetData>
    <row r="1" spans="1:9" ht="24.9" customHeight="1" x14ac:dyDescent="0.3"/>
    <row r="2" spans="1:9" ht="24.9" customHeight="1" thickBot="1" x14ac:dyDescent="0.35"/>
    <row r="3" spans="1:9" ht="24.9" customHeight="1" thickBot="1" x14ac:dyDescent="0.35">
      <c r="A3" s="92" t="s">
        <v>29</v>
      </c>
      <c r="B3" s="93" t="s">
        <v>0</v>
      </c>
      <c r="C3" s="93" t="s">
        <v>26</v>
      </c>
      <c r="D3" s="93" t="s">
        <v>27</v>
      </c>
      <c r="E3" s="93" t="s">
        <v>28</v>
      </c>
      <c r="F3" s="94" t="s">
        <v>25</v>
      </c>
      <c r="G3" s="68"/>
      <c r="H3" s="66"/>
      <c r="I3" s="67"/>
    </row>
    <row r="4" spans="1:9" ht="24.9" customHeight="1" x14ac:dyDescent="0.3">
      <c r="A4" s="84"/>
      <c r="B4" s="85"/>
      <c r="C4" s="85"/>
      <c r="D4" s="85"/>
      <c r="E4" s="85"/>
      <c r="F4" s="86"/>
      <c r="G4" s="89"/>
      <c r="H4" s="90"/>
      <c r="I4" s="91"/>
    </row>
    <row r="5" spans="1:9" ht="24.9" customHeight="1" x14ac:dyDescent="0.3">
      <c r="A5" s="96"/>
      <c r="B5" s="78"/>
      <c r="C5" s="78"/>
      <c r="D5" s="78"/>
      <c r="E5" s="78"/>
      <c r="F5" s="97"/>
      <c r="G5" s="89"/>
      <c r="H5" s="90"/>
      <c r="I5" s="91"/>
    </row>
    <row r="6" spans="1:9" ht="24.9" customHeight="1" x14ac:dyDescent="0.3">
      <c r="A6" s="96"/>
      <c r="B6" s="78"/>
      <c r="C6" s="78"/>
      <c r="D6" s="78"/>
      <c r="E6" s="78"/>
      <c r="F6" s="97"/>
      <c r="G6" s="89"/>
      <c r="H6" s="90"/>
      <c r="I6" s="91"/>
    </row>
    <row r="7" spans="1:9" ht="24.9" customHeight="1" x14ac:dyDescent="0.3">
      <c r="A7" s="96"/>
      <c r="B7" s="78"/>
      <c r="C7" s="78"/>
      <c r="D7" s="78"/>
      <c r="E7" s="78"/>
      <c r="F7" s="97"/>
      <c r="G7" s="89"/>
      <c r="H7" s="90"/>
      <c r="I7" s="91"/>
    </row>
    <row r="8" spans="1:9" ht="24.9" customHeight="1" x14ac:dyDescent="0.3">
      <c r="A8" s="96"/>
      <c r="B8" s="78"/>
      <c r="C8" s="78"/>
      <c r="D8" s="78"/>
      <c r="E8" s="78"/>
      <c r="F8" s="97"/>
      <c r="G8" s="89"/>
      <c r="H8" s="90"/>
      <c r="I8" s="91"/>
    </row>
    <row r="9" spans="1:9" ht="24.9" customHeight="1" x14ac:dyDescent="0.3">
      <c r="A9" s="96"/>
      <c r="B9" s="78"/>
      <c r="C9" s="78"/>
      <c r="D9" s="78"/>
      <c r="E9" s="78"/>
      <c r="F9" s="97"/>
      <c r="G9" s="89"/>
      <c r="H9" s="90"/>
      <c r="I9" s="91"/>
    </row>
    <row r="10" spans="1:9" ht="24.9" customHeight="1" x14ac:dyDescent="0.3">
      <c r="A10" s="96"/>
      <c r="B10" s="78"/>
      <c r="C10" s="78"/>
      <c r="D10" s="78"/>
      <c r="E10" s="78"/>
      <c r="F10" s="97"/>
      <c r="G10" s="89"/>
      <c r="H10" s="90"/>
      <c r="I10" s="91"/>
    </row>
    <row r="11" spans="1:9" ht="24.9" customHeight="1" x14ac:dyDescent="0.3">
      <c r="A11" s="96"/>
      <c r="B11" s="78"/>
      <c r="C11" s="78"/>
      <c r="D11" s="78"/>
      <c r="E11" s="78"/>
      <c r="F11" s="97"/>
      <c r="G11" s="89"/>
      <c r="H11" s="90"/>
      <c r="I11" s="91"/>
    </row>
    <row r="12" spans="1:9" ht="24.9" customHeight="1" x14ac:dyDescent="0.35">
      <c r="A12" s="76">
        <v>1</v>
      </c>
      <c r="B12" s="75">
        <v>43048</v>
      </c>
      <c r="C12" s="72" t="s">
        <v>30</v>
      </c>
      <c r="D12" s="73">
        <v>10000</v>
      </c>
      <c r="E12" s="73"/>
      <c r="F12" s="74">
        <f>D12-E12</f>
        <v>10000</v>
      </c>
      <c r="G12" s="69"/>
      <c r="H12" s="64"/>
      <c r="I12" s="65"/>
    </row>
    <row r="13" spans="1:9" ht="24.9" customHeight="1" x14ac:dyDescent="0.35">
      <c r="A13" s="76">
        <v>2</v>
      </c>
      <c r="B13" s="75">
        <v>43048</v>
      </c>
      <c r="C13" s="72" t="s">
        <v>31</v>
      </c>
      <c r="D13" s="73"/>
      <c r="E13" s="73">
        <v>50</v>
      </c>
      <c r="F13" s="74">
        <v>9950</v>
      </c>
      <c r="G13" s="70"/>
      <c r="H13" s="1"/>
      <c r="I13" s="3"/>
    </row>
    <row r="14" spans="1:9" ht="24.9" customHeight="1" x14ac:dyDescent="0.35">
      <c r="A14" s="76">
        <v>3</v>
      </c>
      <c r="B14" s="75">
        <v>43048</v>
      </c>
      <c r="C14" s="72" t="s">
        <v>32</v>
      </c>
      <c r="D14" s="73"/>
      <c r="E14" s="73">
        <v>150</v>
      </c>
      <c r="F14" s="74">
        <v>9800</v>
      </c>
      <c r="G14" s="70"/>
      <c r="H14" s="1"/>
      <c r="I14" s="3"/>
    </row>
    <row r="15" spans="1:9" ht="24.9" customHeight="1" x14ac:dyDescent="0.35">
      <c r="A15" s="76">
        <v>4</v>
      </c>
      <c r="B15" s="75">
        <v>43048</v>
      </c>
      <c r="C15" s="72" t="s">
        <v>33</v>
      </c>
      <c r="D15" s="73"/>
      <c r="E15" s="73">
        <v>50</v>
      </c>
      <c r="F15" s="74">
        <v>9750</v>
      </c>
      <c r="G15" s="70"/>
      <c r="H15" s="1"/>
      <c r="I15" s="3"/>
    </row>
    <row r="16" spans="1:9" ht="24.9" customHeight="1" x14ac:dyDescent="0.35">
      <c r="A16" s="76">
        <v>5</v>
      </c>
      <c r="B16" s="75">
        <v>43048</v>
      </c>
      <c r="C16" s="72" t="s">
        <v>34</v>
      </c>
      <c r="D16" s="73"/>
      <c r="E16" s="73">
        <v>50</v>
      </c>
      <c r="F16" s="74">
        <v>9700</v>
      </c>
      <c r="G16" s="70"/>
      <c r="H16" s="1"/>
      <c r="I16" s="3"/>
    </row>
    <row r="17" spans="1:9" ht="24.9" customHeight="1" x14ac:dyDescent="0.35">
      <c r="A17" s="76">
        <v>6</v>
      </c>
      <c r="B17" s="75">
        <v>43048</v>
      </c>
      <c r="C17" s="72" t="s">
        <v>58</v>
      </c>
      <c r="D17" s="1"/>
      <c r="E17" s="73">
        <v>60</v>
      </c>
      <c r="F17" s="74">
        <v>9640</v>
      </c>
      <c r="G17" s="70"/>
      <c r="H17" s="1"/>
      <c r="I17" s="3"/>
    </row>
    <row r="18" spans="1:9" ht="24.9" customHeight="1" x14ac:dyDescent="0.35">
      <c r="A18" s="76">
        <v>7</v>
      </c>
      <c r="B18" s="75">
        <v>43048</v>
      </c>
      <c r="C18" s="72" t="s">
        <v>59</v>
      </c>
      <c r="D18" s="1"/>
      <c r="E18" s="73">
        <v>20</v>
      </c>
      <c r="F18" s="74">
        <v>9620</v>
      </c>
      <c r="G18" s="70"/>
      <c r="H18" s="1"/>
      <c r="I18" s="3"/>
    </row>
    <row r="19" spans="1:9" ht="24.9" customHeight="1" x14ac:dyDescent="0.35">
      <c r="A19" s="76">
        <v>8</v>
      </c>
      <c r="B19" s="75">
        <v>43048</v>
      </c>
      <c r="C19" s="72" t="s">
        <v>60</v>
      </c>
      <c r="D19" s="1"/>
      <c r="E19" s="73">
        <v>40</v>
      </c>
      <c r="F19" s="74">
        <v>9580</v>
      </c>
      <c r="G19" s="70"/>
      <c r="H19" s="1"/>
      <c r="I19" s="3"/>
    </row>
    <row r="20" spans="1:9" ht="24.9" customHeight="1" x14ac:dyDescent="0.35">
      <c r="A20" s="76">
        <v>9</v>
      </c>
      <c r="B20" s="75">
        <v>43048</v>
      </c>
      <c r="C20" s="77" t="s">
        <v>61</v>
      </c>
      <c r="D20" s="1"/>
      <c r="E20" s="73">
        <v>500</v>
      </c>
      <c r="F20" s="74">
        <v>9080</v>
      </c>
      <c r="G20" s="70"/>
      <c r="H20" s="1"/>
      <c r="I20" s="3"/>
    </row>
    <row r="21" spans="1:9" ht="24.9" customHeight="1" x14ac:dyDescent="0.35">
      <c r="A21" s="76">
        <v>10</v>
      </c>
      <c r="B21" s="75">
        <v>43048</v>
      </c>
      <c r="C21" s="77" t="s">
        <v>62</v>
      </c>
      <c r="D21" s="1"/>
      <c r="E21" s="73">
        <v>72</v>
      </c>
      <c r="F21" s="74">
        <v>9008</v>
      </c>
      <c r="G21" s="70"/>
      <c r="H21" s="1"/>
      <c r="I21" s="3"/>
    </row>
    <row r="22" spans="1:9" ht="24.9" customHeight="1" x14ac:dyDescent="0.35">
      <c r="A22" s="76">
        <v>11</v>
      </c>
      <c r="B22" s="75">
        <v>43048</v>
      </c>
      <c r="C22" s="77" t="s">
        <v>63</v>
      </c>
      <c r="D22" s="1"/>
      <c r="E22" s="73">
        <v>130</v>
      </c>
      <c r="F22" s="74">
        <v>8878</v>
      </c>
      <c r="G22" s="70"/>
      <c r="H22" s="1"/>
      <c r="I22" s="3"/>
    </row>
    <row r="23" spans="1:9" ht="24.9" customHeight="1" x14ac:dyDescent="0.35">
      <c r="A23" s="76">
        <v>12</v>
      </c>
      <c r="B23" s="75">
        <v>43048</v>
      </c>
      <c r="C23" s="77" t="s">
        <v>64</v>
      </c>
      <c r="D23" s="1"/>
      <c r="E23" s="73">
        <v>150</v>
      </c>
      <c r="F23" s="74">
        <v>8728</v>
      </c>
      <c r="G23" s="70"/>
      <c r="H23" s="1"/>
      <c r="I23" s="3"/>
    </row>
    <row r="24" spans="1:9" ht="24.9" customHeight="1" x14ac:dyDescent="0.35">
      <c r="A24" s="76">
        <v>13</v>
      </c>
      <c r="B24" s="75">
        <v>43048</v>
      </c>
      <c r="C24" s="77" t="s">
        <v>65</v>
      </c>
      <c r="D24" s="1"/>
      <c r="E24" s="73">
        <v>20</v>
      </c>
      <c r="F24" s="74">
        <v>8708</v>
      </c>
      <c r="G24" s="70"/>
      <c r="H24" s="1"/>
      <c r="I24" s="3"/>
    </row>
    <row r="25" spans="1:9" ht="24.9" customHeight="1" x14ac:dyDescent="0.35">
      <c r="A25" s="76">
        <v>14</v>
      </c>
      <c r="B25" s="75">
        <v>43048</v>
      </c>
      <c r="C25" s="77" t="s">
        <v>66</v>
      </c>
      <c r="D25" s="1"/>
      <c r="E25" s="79">
        <v>150</v>
      </c>
      <c r="F25" s="74">
        <v>8558</v>
      </c>
      <c r="G25" s="70"/>
      <c r="H25" s="1"/>
      <c r="I25" s="3"/>
    </row>
    <row r="26" spans="1:9" ht="24.9" customHeight="1" x14ac:dyDescent="0.35">
      <c r="A26" s="76">
        <v>15</v>
      </c>
      <c r="B26" s="75">
        <v>43048</v>
      </c>
      <c r="C26" s="77" t="s">
        <v>67</v>
      </c>
      <c r="D26" s="1"/>
      <c r="E26" s="73">
        <v>300</v>
      </c>
      <c r="F26" s="74">
        <v>8258</v>
      </c>
      <c r="G26" s="70"/>
      <c r="H26" s="1"/>
      <c r="I26" s="3"/>
    </row>
    <row r="27" spans="1:9" ht="24.9" customHeight="1" x14ac:dyDescent="0.35">
      <c r="A27" s="76">
        <v>16</v>
      </c>
      <c r="B27" s="75">
        <v>43048</v>
      </c>
      <c r="C27" s="77" t="s">
        <v>68</v>
      </c>
      <c r="D27" s="1"/>
      <c r="E27" s="73">
        <v>90</v>
      </c>
      <c r="F27" s="74">
        <v>8168</v>
      </c>
      <c r="G27" s="70"/>
      <c r="H27" s="1"/>
      <c r="I27" s="3"/>
    </row>
    <row r="28" spans="1:9" ht="24.9" customHeight="1" x14ac:dyDescent="0.35">
      <c r="A28" s="76">
        <v>17</v>
      </c>
      <c r="B28" s="75">
        <v>43049</v>
      </c>
      <c r="C28" s="72" t="s">
        <v>31</v>
      </c>
      <c r="D28" s="73"/>
      <c r="E28" s="73">
        <v>50</v>
      </c>
      <c r="F28" s="74">
        <v>8118</v>
      </c>
      <c r="G28" s="70"/>
      <c r="H28" s="1"/>
      <c r="I28" s="3"/>
    </row>
    <row r="29" spans="1:9" ht="24.9" customHeight="1" x14ac:dyDescent="0.35">
      <c r="A29" s="76">
        <v>18</v>
      </c>
      <c r="B29" s="75">
        <v>43049</v>
      </c>
      <c r="C29" s="72" t="s">
        <v>35</v>
      </c>
      <c r="D29" s="73"/>
      <c r="E29" s="73">
        <v>240</v>
      </c>
      <c r="F29" s="74">
        <v>7878</v>
      </c>
      <c r="G29" s="70"/>
      <c r="H29" s="1"/>
      <c r="I29" s="3"/>
    </row>
    <row r="30" spans="1:9" ht="24.9" customHeight="1" x14ac:dyDescent="0.35">
      <c r="A30" s="76">
        <v>19</v>
      </c>
      <c r="B30" s="75">
        <v>43049</v>
      </c>
      <c r="C30" s="72" t="s">
        <v>36</v>
      </c>
      <c r="D30" s="73"/>
      <c r="E30" s="73">
        <v>70</v>
      </c>
      <c r="F30" s="74">
        <v>7808</v>
      </c>
      <c r="G30" s="70"/>
      <c r="H30" s="1"/>
      <c r="I30" s="3"/>
    </row>
    <row r="31" spans="1:9" ht="24.9" customHeight="1" x14ac:dyDescent="0.35">
      <c r="A31" s="76">
        <v>20</v>
      </c>
      <c r="B31" s="75">
        <v>43049</v>
      </c>
      <c r="C31" s="72" t="s">
        <v>37</v>
      </c>
      <c r="D31" s="73"/>
      <c r="E31" s="73">
        <v>144</v>
      </c>
      <c r="F31" s="74">
        <v>7664</v>
      </c>
      <c r="G31" s="70"/>
      <c r="H31" s="1"/>
      <c r="I31" s="3"/>
    </row>
    <row r="32" spans="1:9" ht="24.9" customHeight="1" x14ac:dyDescent="0.35">
      <c r="A32" s="76">
        <v>21</v>
      </c>
      <c r="B32" s="75">
        <v>43049</v>
      </c>
      <c r="C32" s="72" t="s">
        <v>38</v>
      </c>
      <c r="D32" s="73"/>
      <c r="E32" s="73">
        <v>2350</v>
      </c>
      <c r="F32" s="74">
        <v>5314</v>
      </c>
      <c r="G32" s="70"/>
      <c r="H32" s="1"/>
      <c r="I32" s="3"/>
    </row>
    <row r="33" spans="1:9" ht="24.9" customHeight="1" x14ac:dyDescent="0.35">
      <c r="A33" s="76">
        <v>22</v>
      </c>
      <c r="B33" s="75">
        <v>43049</v>
      </c>
      <c r="C33" s="72" t="s">
        <v>39</v>
      </c>
      <c r="D33" s="73"/>
      <c r="E33" s="73">
        <v>15</v>
      </c>
      <c r="F33" s="74">
        <v>5299</v>
      </c>
      <c r="G33" s="70"/>
      <c r="H33" s="1"/>
      <c r="I33" s="3"/>
    </row>
    <row r="34" spans="1:9" ht="24.9" customHeight="1" x14ac:dyDescent="0.35">
      <c r="A34" s="76">
        <v>23</v>
      </c>
      <c r="B34" s="75">
        <v>43050</v>
      </c>
      <c r="C34" s="72" t="s">
        <v>30</v>
      </c>
      <c r="D34" s="79">
        <v>35000</v>
      </c>
      <c r="E34" s="78"/>
      <c r="F34" s="87">
        <v>40299</v>
      </c>
      <c r="G34" s="70"/>
      <c r="H34" s="1"/>
      <c r="I34" s="3"/>
    </row>
    <row r="35" spans="1:9" ht="24.9" customHeight="1" x14ac:dyDescent="0.35">
      <c r="A35" s="76">
        <v>24</v>
      </c>
      <c r="B35" s="75">
        <v>43050</v>
      </c>
      <c r="C35" s="72" t="s">
        <v>40</v>
      </c>
      <c r="D35" s="73"/>
      <c r="E35" s="73">
        <v>240</v>
      </c>
      <c r="F35" s="74">
        <v>40059</v>
      </c>
      <c r="G35" s="70"/>
      <c r="H35" s="1"/>
      <c r="I35" s="3"/>
    </row>
    <row r="36" spans="1:9" ht="24.9" customHeight="1" x14ac:dyDescent="0.35">
      <c r="A36" s="76">
        <v>25</v>
      </c>
      <c r="B36" s="75">
        <v>43050</v>
      </c>
      <c r="C36" s="72" t="s">
        <v>33</v>
      </c>
      <c r="D36" s="73"/>
      <c r="E36" s="73">
        <v>50</v>
      </c>
      <c r="F36" s="74">
        <v>40009</v>
      </c>
      <c r="G36" s="70"/>
      <c r="H36" s="1"/>
      <c r="I36" s="3"/>
    </row>
    <row r="37" spans="1:9" ht="24.9" customHeight="1" x14ac:dyDescent="0.35">
      <c r="A37" s="76">
        <v>26</v>
      </c>
      <c r="B37" s="75">
        <v>43050</v>
      </c>
      <c r="C37" s="72" t="s">
        <v>32</v>
      </c>
      <c r="D37" s="73"/>
      <c r="E37" s="73">
        <v>220</v>
      </c>
      <c r="F37" s="74">
        <v>39789</v>
      </c>
      <c r="H37" s="1"/>
      <c r="I37" s="3"/>
    </row>
    <row r="38" spans="1:9" ht="24.9" customHeight="1" x14ac:dyDescent="0.35">
      <c r="A38" s="76">
        <v>27</v>
      </c>
      <c r="B38" s="80">
        <v>43050</v>
      </c>
      <c r="C38" s="72" t="s">
        <v>69</v>
      </c>
      <c r="D38" s="1"/>
      <c r="E38" s="73">
        <v>155</v>
      </c>
      <c r="F38" s="74">
        <v>39634</v>
      </c>
      <c r="G38" s="70"/>
      <c r="H38" s="1"/>
      <c r="I38" s="3"/>
    </row>
    <row r="39" spans="1:9" ht="24.9" customHeight="1" x14ac:dyDescent="0.35">
      <c r="A39" s="76">
        <v>28</v>
      </c>
      <c r="B39" s="80">
        <v>43050</v>
      </c>
      <c r="C39" s="83" t="s">
        <v>47</v>
      </c>
      <c r="D39" s="1"/>
      <c r="E39" s="88">
        <v>8000</v>
      </c>
      <c r="F39" s="74">
        <v>31634</v>
      </c>
      <c r="G39" s="70"/>
      <c r="H39" s="1"/>
      <c r="I39" s="3"/>
    </row>
    <row r="40" spans="1:9" ht="24.9" customHeight="1" x14ac:dyDescent="0.35">
      <c r="A40" s="76">
        <v>29</v>
      </c>
      <c r="B40" s="80">
        <v>43080</v>
      </c>
      <c r="C40" s="72" t="s">
        <v>48</v>
      </c>
      <c r="D40" s="1"/>
      <c r="E40" s="73">
        <v>21000</v>
      </c>
      <c r="F40" s="74">
        <v>10634</v>
      </c>
      <c r="G40" s="70"/>
      <c r="H40" s="1"/>
      <c r="I40" s="3"/>
    </row>
    <row r="41" spans="1:9" ht="24.9" customHeight="1" x14ac:dyDescent="0.35">
      <c r="A41" s="76">
        <v>30</v>
      </c>
      <c r="B41" s="80">
        <v>43080</v>
      </c>
      <c r="C41" s="83" t="s">
        <v>47</v>
      </c>
      <c r="D41" s="1"/>
      <c r="E41" s="88">
        <v>4000</v>
      </c>
      <c r="F41" s="74">
        <v>6634</v>
      </c>
      <c r="G41" s="70"/>
      <c r="H41" s="1"/>
      <c r="I41" s="3"/>
    </row>
    <row r="42" spans="1:9" ht="24.9" customHeight="1" x14ac:dyDescent="0.35">
      <c r="A42" s="76">
        <v>31</v>
      </c>
      <c r="B42" s="81" t="s">
        <v>57</v>
      </c>
      <c r="C42" s="72" t="s">
        <v>30</v>
      </c>
      <c r="D42" s="79">
        <v>20000</v>
      </c>
      <c r="E42" s="82"/>
      <c r="F42" s="87">
        <v>26634</v>
      </c>
      <c r="G42" s="70"/>
      <c r="H42" s="1"/>
      <c r="I42" s="3"/>
    </row>
    <row r="43" spans="1:9" ht="24.9" customHeight="1" x14ac:dyDescent="0.35">
      <c r="A43" s="76">
        <v>32</v>
      </c>
      <c r="B43" s="80" t="s">
        <v>46</v>
      </c>
      <c r="C43" s="72" t="s">
        <v>40</v>
      </c>
      <c r="D43" s="79"/>
      <c r="E43" s="79">
        <v>60</v>
      </c>
      <c r="F43" s="87">
        <v>26574</v>
      </c>
      <c r="G43" s="70"/>
      <c r="H43" s="1"/>
      <c r="I43" s="3"/>
    </row>
    <row r="44" spans="1:9" ht="24.9" customHeight="1" x14ac:dyDescent="0.35">
      <c r="A44" s="76">
        <v>33</v>
      </c>
      <c r="B44" s="80" t="s">
        <v>46</v>
      </c>
      <c r="C44" s="72" t="s">
        <v>32</v>
      </c>
      <c r="D44" s="79"/>
      <c r="E44" s="79">
        <v>200</v>
      </c>
      <c r="F44" s="87">
        <v>26374</v>
      </c>
      <c r="G44" s="70"/>
      <c r="H44" s="1"/>
      <c r="I44" s="3"/>
    </row>
    <row r="45" spans="1:9" ht="24.9" customHeight="1" x14ac:dyDescent="0.35">
      <c r="A45" s="76">
        <v>34</v>
      </c>
      <c r="B45" s="75">
        <v>43052</v>
      </c>
      <c r="C45" s="72" t="s">
        <v>41</v>
      </c>
      <c r="D45" s="73"/>
      <c r="E45" s="73">
        <v>300</v>
      </c>
      <c r="F45" s="74">
        <v>26074</v>
      </c>
      <c r="G45" s="70"/>
      <c r="H45" s="1"/>
      <c r="I45" s="3"/>
    </row>
    <row r="46" spans="1:9" ht="24.9" customHeight="1" x14ac:dyDescent="0.35">
      <c r="A46" s="76">
        <v>35</v>
      </c>
      <c r="B46" s="75">
        <v>43052</v>
      </c>
      <c r="C46" s="72" t="s">
        <v>42</v>
      </c>
      <c r="D46" s="73"/>
      <c r="E46" s="73">
        <v>175</v>
      </c>
      <c r="F46" s="74">
        <v>25899</v>
      </c>
      <c r="G46" s="70"/>
      <c r="H46" s="1"/>
      <c r="I46" s="3"/>
    </row>
    <row r="47" spans="1:9" ht="24.9" customHeight="1" x14ac:dyDescent="0.35">
      <c r="A47" s="76">
        <v>36</v>
      </c>
      <c r="B47" s="75">
        <v>43052</v>
      </c>
      <c r="C47" s="72" t="s">
        <v>43</v>
      </c>
      <c r="D47" s="73"/>
      <c r="E47" s="73">
        <v>50</v>
      </c>
      <c r="F47" s="74">
        <v>25849</v>
      </c>
      <c r="G47" s="70"/>
      <c r="H47" s="1"/>
      <c r="I47" s="3"/>
    </row>
    <row r="48" spans="1:9" ht="24.9" customHeight="1" x14ac:dyDescent="0.35">
      <c r="A48" s="76">
        <v>37</v>
      </c>
      <c r="B48" s="75">
        <v>43052</v>
      </c>
      <c r="C48" s="72" t="s">
        <v>44</v>
      </c>
      <c r="D48" s="73"/>
      <c r="E48" s="73">
        <v>100</v>
      </c>
      <c r="F48" s="74">
        <v>25749</v>
      </c>
      <c r="G48" s="70"/>
      <c r="H48" s="1"/>
      <c r="I48" s="3"/>
    </row>
    <row r="49" spans="1:9" ht="24.9" customHeight="1" x14ac:dyDescent="0.35">
      <c r="A49" s="76">
        <v>38</v>
      </c>
      <c r="B49" s="75">
        <v>43052</v>
      </c>
      <c r="C49" s="72" t="s">
        <v>45</v>
      </c>
      <c r="D49" s="73"/>
      <c r="E49" s="73">
        <v>400</v>
      </c>
      <c r="F49" s="74">
        <v>25349</v>
      </c>
      <c r="G49" s="70"/>
      <c r="H49" s="1"/>
      <c r="I49" s="3"/>
    </row>
    <row r="50" spans="1:9" ht="24.9" customHeight="1" x14ac:dyDescent="0.35">
      <c r="A50" s="76">
        <v>39</v>
      </c>
      <c r="B50" s="75">
        <v>43053</v>
      </c>
      <c r="C50" s="72" t="s">
        <v>49</v>
      </c>
      <c r="D50" s="73"/>
      <c r="E50" s="73">
        <v>300</v>
      </c>
      <c r="F50" s="74">
        <v>25049</v>
      </c>
      <c r="G50" s="70"/>
      <c r="H50" s="1"/>
      <c r="I50" s="3"/>
    </row>
    <row r="51" spans="1:9" ht="24.9" customHeight="1" thickBot="1" x14ac:dyDescent="0.4">
      <c r="A51" s="76">
        <v>40</v>
      </c>
      <c r="B51" s="75">
        <v>43053</v>
      </c>
      <c r="C51" s="72" t="s">
        <v>50</v>
      </c>
      <c r="D51" s="73"/>
      <c r="E51" s="73">
        <v>125</v>
      </c>
      <c r="F51" s="74">
        <v>24924</v>
      </c>
      <c r="G51" s="71"/>
      <c r="H51" s="31"/>
      <c r="I51" s="63"/>
    </row>
    <row r="52" spans="1:9" ht="24.9" customHeight="1" x14ac:dyDescent="0.35">
      <c r="A52" s="76">
        <v>41</v>
      </c>
      <c r="B52" s="75">
        <v>43053</v>
      </c>
      <c r="C52" s="72" t="s">
        <v>40</v>
      </c>
      <c r="D52" s="73"/>
      <c r="E52" s="73">
        <v>80</v>
      </c>
      <c r="F52" s="74">
        <v>24844</v>
      </c>
      <c r="G52" s="70"/>
      <c r="H52" s="1"/>
      <c r="I52" s="3"/>
    </row>
    <row r="53" spans="1:9" ht="24.9" customHeight="1" x14ac:dyDescent="0.35">
      <c r="A53" s="76">
        <v>42</v>
      </c>
      <c r="B53" s="75">
        <v>43053</v>
      </c>
      <c r="C53" s="72" t="s">
        <v>32</v>
      </c>
      <c r="D53" s="73"/>
      <c r="E53" s="73">
        <v>200</v>
      </c>
      <c r="F53" s="74">
        <v>24644</v>
      </c>
    </row>
    <row r="54" spans="1:9" ht="24.9" customHeight="1" x14ac:dyDescent="0.35">
      <c r="A54" s="76">
        <v>43</v>
      </c>
      <c r="B54" s="75">
        <v>43053</v>
      </c>
      <c r="C54" s="72" t="s">
        <v>51</v>
      </c>
      <c r="D54" s="73"/>
      <c r="E54" s="73">
        <v>10000</v>
      </c>
      <c r="F54" s="74">
        <v>14644</v>
      </c>
    </row>
    <row r="55" spans="1:9" ht="24.9" customHeight="1" x14ac:dyDescent="0.35">
      <c r="A55" s="76">
        <v>44</v>
      </c>
      <c r="B55" s="75">
        <v>43053</v>
      </c>
      <c r="C55" s="72" t="s">
        <v>52</v>
      </c>
      <c r="D55" s="73"/>
      <c r="E55" s="73">
        <v>100</v>
      </c>
      <c r="F55" s="74">
        <v>14544</v>
      </c>
    </row>
    <row r="56" spans="1:9" ht="24.9" customHeight="1" x14ac:dyDescent="0.35">
      <c r="A56" s="76">
        <v>45</v>
      </c>
      <c r="B56" s="81" t="s">
        <v>76</v>
      </c>
      <c r="C56" s="72" t="s">
        <v>77</v>
      </c>
      <c r="D56" s="1"/>
      <c r="E56" s="73">
        <v>5000</v>
      </c>
      <c r="F56" s="74">
        <v>9544</v>
      </c>
    </row>
    <row r="57" spans="1:9" ht="24.9" customHeight="1" x14ac:dyDescent="0.35">
      <c r="A57" s="76">
        <v>46</v>
      </c>
      <c r="B57" s="75" t="s">
        <v>53</v>
      </c>
      <c r="C57" s="72" t="s">
        <v>40</v>
      </c>
      <c r="D57" s="73"/>
      <c r="E57" s="73">
        <v>50</v>
      </c>
      <c r="F57" s="74">
        <v>9494</v>
      </c>
    </row>
    <row r="58" spans="1:9" ht="24.9" customHeight="1" x14ac:dyDescent="0.35">
      <c r="A58" s="76">
        <v>47</v>
      </c>
      <c r="B58" s="81" t="s">
        <v>53</v>
      </c>
      <c r="C58" s="72" t="s">
        <v>32</v>
      </c>
      <c r="D58" s="73"/>
      <c r="E58" s="73">
        <v>230</v>
      </c>
      <c r="F58" s="74">
        <v>9264</v>
      </c>
    </row>
    <row r="59" spans="1:9" ht="24.9" customHeight="1" x14ac:dyDescent="0.35">
      <c r="A59" s="76">
        <v>48</v>
      </c>
      <c r="B59" s="75" t="s">
        <v>53</v>
      </c>
      <c r="C59" s="72" t="s">
        <v>54</v>
      </c>
      <c r="D59" s="73"/>
      <c r="E59" s="73">
        <v>20</v>
      </c>
      <c r="F59" s="74">
        <v>9244</v>
      </c>
    </row>
    <row r="60" spans="1:9" ht="24.9" customHeight="1" x14ac:dyDescent="0.35">
      <c r="A60" s="76">
        <v>49</v>
      </c>
      <c r="B60" s="75" t="s">
        <v>53</v>
      </c>
      <c r="C60" s="72" t="s">
        <v>55</v>
      </c>
      <c r="D60" s="73"/>
      <c r="E60" s="73">
        <v>50</v>
      </c>
      <c r="F60" s="74">
        <v>9194</v>
      </c>
    </row>
    <row r="61" spans="1:9" ht="24.9" customHeight="1" x14ac:dyDescent="0.35">
      <c r="A61" s="76">
        <v>50</v>
      </c>
      <c r="B61" s="75" t="s">
        <v>53</v>
      </c>
      <c r="C61" s="72" t="s">
        <v>56</v>
      </c>
      <c r="D61" s="73"/>
      <c r="E61" s="73">
        <v>400</v>
      </c>
      <c r="F61" s="74">
        <v>8794</v>
      </c>
    </row>
    <row r="62" spans="1:9" ht="24.9" customHeight="1" x14ac:dyDescent="0.35">
      <c r="A62" s="76">
        <v>51</v>
      </c>
      <c r="B62" s="75" t="s">
        <v>53</v>
      </c>
      <c r="C62" s="83" t="s">
        <v>70</v>
      </c>
      <c r="D62" s="1"/>
      <c r="E62" s="88">
        <v>2000</v>
      </c>
      <c r="F62" s="74">
        <v>6794</v>
      </c>
    </row>
    <row r="63" spans="1:9" ht="24.9" customHeight="1" x14ac:dyDescent="0.35">
      <c r="A63" s="76">
        <v>52</v>
      </c>
      <c r="B63" s="75" t="s">
        <v>71</v>
      </c>
      <c r="C63" s="72" t="s">
        <v>31</v>
      </c>
      <c r="D63" s="1"/>
      <c r="E63" s="73">
        <v>60</v>
      </c>
      <c r="F63" s="74">
        <v>6734</v>
      </c>
    </row>
    <row r="64" spans="1:9" ht="24.9" customHeight="1" x14ac:dyDescent="0.35">
      <c r="A64" s="76">
        <v>53</v>
      </c>
      <c r="B64" s="75" t="s">
        <v>71</v>
      </c>
      <c r="C64" s="72" t="s">
        <v>72</v>
      </c>
      <c r="D64" s="1"/>
      <c r="E64" s="73">
        <v>500</v>
      </c>
      <c r="F64" s="74">
        <v>6234</v>
      </c>
    </row>
    <row r="65" spans="1:6" ht="24.9" customHeight="1" x14ac:dyDescent="0.35">
      <c r="A65" s="76">
        <v>54</v>
      </c>
      <c r="B65" s="75" t="s">
        <v>71</v>
      </c>
      <c r="C65" s="72" t="s">
        <v>73</v>
      </c>
      <c r="D65" s="1"/>
      <c r="E65" s="73">
        <v>50</v>
      </c>
      <c r="F65" s="74">
        <v>6184</v>
      </c>
    </row>
    <row r="66" spans="1:6" ht="24.9" customHeight="1" x14ac:dyDescent="0.35">
      <c r="A66" s="76">
        <v>55</v>
      </c>
      <c r="B66" s="75" t="s">
        <v>74</v>
      </c>
      <c r="C66" s="72" t="s">
        <v>32</v>
      </c>
      <c r="D66" s="1"/>
      <c r="E66" s="73">
        <v>270</v>
      </c>
      <c r="F66" s="74">
        <v>5914</v>
      </c>
    </row>
    <row r="67" spans="1:6" ht="24.9" customHeight="1" x14ac:dyDescent="0.35">
      <c r="A67" s="76">
        <v>56</v>
      </c>
      <c r="B67" s="75" t="s">
        <v>74</v>
      </c>
      <c r="C67" s="72" t="s">
        <v>75</v>
      </c>
      <c r="D67" s="1"/>
      <c r="E67" s="73">
        <v>20</v>
      </c>
      <c r="F67" s="74">
        <v>5894</v>
      </c>
    </row>
    <row r="68" spans="1:6" ht="24.9" customHeight="1" x14ac:dyDescent="0.35">
      <c r="A68" s="76">
        <v>57</v>
      </c>
      <c r="B68" s="1"/>
      <c r="C68" s="1"/>
      <c r="D68" s="1"/>
      <c r="E68" s="1"/>
      <c r="F68" s="3"/>
    </row>
    <row r="69" spans="1:6" ht="24.9" customHeight="1" x14ac:dyDescent="0.35">
      <c r="A69" s="76">
        <v>58</v>
      </c>
      <c r="B69" s="1"/>
      <c r="C69" s="1"/>
      <c r="D69" s="1"/>
      <c r="E69" s="1"/>
      <c r="F69" s="3"/>
    </row>
    <row r="70" spans="1:6" ht="24.9" customHeight="1" x14ac:dyDescent="0.35">
      <c r="A70" s="76">
        <v>59</v>
      </c>
      <c r="B70" s="1"/>
      <c r="C70" s="1"/>
      <c r="D70" s="1"/>
      <c r="E70" s="1"/>
      <c r="F70" s="3"/>
    </row>
    <row r="71" spans="1:6" ht="24.9" customHeight="1" x14ac:dyDescent="0.35">
      <c r="A71" s="76">
        <v>60</v>
      </c>
      <c r="B71" s="1"/>
      <c r="C71" s="1"/>
      <c r="D71" s="1"/>
      <c r="E71" s="1"/>
      <c r="F71" s="3"/>
    </row>
    <row r="72" spans="1:6" ht="24.9" customHeight="1" x14ac:dyDescent="0.3">
      <c r="A72" s="2"/>
      <c r="B72" s="1"/>
      <c r="C72" s="1"/>
      <c r="D72" s="1"/>
      <c r="E72" s="1"/>
      <c r="F72" s="3"/>
    </row>
    <row r="73" spans="1:6" ht="24.9" customHeight="1" x14ac:dyDescent="0.3">
      <c r="A73" s="2"/>
      <c r="B73" s="1"/>
      <c r="C73" s="1"/>
      <c r="D73" s="1"/>
      <c r="E73" s="1"/>
      <c r="F73" s="3"/>
    </row>
    <row r="74" spans="1:6" ht="24.9" customHeight="1" x14ac:dyDescent="0.3">
      <c r="A74" s="2"/>
      <c r="B74" s="1"/>
      <c r="C74" s="1"/>
      <c r="D74" s="1"/>
      <c r="E74" s="1"/>
      <c r="F74" s="3"/>
    </row>
    <row r="75" spans="1:6" ht="24.9" customHeight="1" x14ac:dyDescent="0.3">
      <c r="A75" s="2"/>
      <c r="B75" s="1"/>
      <c r="C75" s="1"/>
      <c r="D75" s="1"/>
      <c r="E75" s="1"/>
      <c r="F75" s="3"/>
    </row>
    <row r="76" spans="1:6" ht="24.9" customHeight="1" x14ac:dyDescent="0.3">
      <c r="A76" s="2"/>
      <c r="B76" s="1"/>
      <c r="C76" s="1"/>
      <c r="D76" s="1"/>
      <c r="E76" s="1"/>
      <c r="F76" s="3"/>
    </row>
    <row r="77" spans="1:6" ht="24.9" customHeight="1" x14ac:dyDescent="0.3">
      <c r="A77" s="2"/>
      <c r="B77" s="1"/>
      <c r="C77" s="1"/>
      <c r="D77" s="1"/>
      <c r="E77" s="1"/>
      <c r="F77" s="3"/>
    </row>
    <row r="78" spans="1:6" ht="24.9" customHeight="1" x14ac:dyDescent="0.3">
      <c r="A78" s="2"/>
      <c r="B78" s="1"/>
      <c r="C78" s="1"/>
      <c r="D78" s="1"/>
      <c r="E78" s="1"/>
      <c r="F78" s="3"/>
    </row>
    <row r="79" spans="1:6" ht="24.9" customHeight="1" x14ac:dyDescent="0.3">
      <c r="A79" s="2"/>
      <c r="B79" s="1"/>
      <c r="C79" s="1"/>
      <c r="D79" s="1"/>
      <c r="E79" s="1"/>
      <c r="F79" s="3"/>
    </row>
    <row r="80" spans="1:6" ht="24.9" customHeight="1" x14ac:dyDescent="0.3">
      <c r="A80" s="2"/>
      <c r="B80" s="1"/>
      <c r="C80" s="1"/>
      <c r="D80" s="1"/>
      <c r="E80" s="1"/>
      <c r="F80" s="3"/>
    </row>
    <row r="81" spans="1:6" ht="24.9" customHeight="1" x14ac:dyDescent="0.3">
      <c r="A81" s="2"/>
      <c r="B81" s="1"/>
      <c r="C81" s="1"/>
      <c r="D81" s="1"/>
      <c r="E81" s="1"/>
      <c r="F81" s="3"/>
    </row>
    <row r="82" spans="1:6" ht="24.9" customHeight="1" x14ac:dyDescent="0.3">
      <c r="A82" s="2"/>
      <c r="B82" s="1"/>
      <c r="C82" s="1"/>
      <c r="D82" s="1"/>
      <c r="E82" s="1"/>
      <c r="F82" s="3"/>
    </row>
    <row r="83" spans="1:6" ht="24.9" customHeight="1" x14ac:dyDescent="0.3">
      <c r="A83" s="2"/>
      <c r="B83" s="1"/>
      <c r="C83" s="1"/>
      <c r="D83" s="1"/>
      <c r="E83" s="1"/>
      <c r="F83" s="3"/>
    </row>
    <row r="84" spans="1:6" ht="24.9" customHeight="1" x14ac:dyDescent="0.3">
      <c r="A84" s="2"/>
      <c r="B84" s="1"/>
      <c r="C84" s="1"/>
      <c r="D84" s="1"/>
      <c r="E84" s="1"/>
      <c r="F84" s="3"/>
    </row>
    <row r="85" spans="1:6" ht="24.9" customHeight="1" x14ac:dyDescent="0.3">
      <c r="A85" s="2"/>
      <c r="B85" s="1"/>
      <c r="C85" s="1"/>
      <c r="D85" s="1"/>
      <c r="E85" s="1"/>
      <c r="F85" s="3"/>
    </row>
    <row r="86" spans="1:6" ht="24.9" customHeight="1" x14ac:dyDescent="0.3">
      <c r="A86" s="2"/>
      <c r="B86" s="1"/>
      <c r="C86" s="1"/>
      <c r="D86" s="1"/>
      <c r="E86" s="1"/>
      <c r="F86" s="3"/>
    </row>
    <row r="87" spans="1:6" ht="24.9" customHeight="1" x14ac:dyDescent="0.3">
      <c r="A87" s="2"/>
      <c r="B87" s="1"/>
      <c r="C87" s="1"/>
      <c r="D87" s="1"/>
      <c r="E87" s="1"/>
      <c r="F87" s="3"/>
    </row>
    <row r="88" spans="1:6" ht="24.9" customHeight="1" x14ac:dyDescent="0.3">
      <c r="A88" s="2"/>
      <c r="B88" s="1"/>
      <c r="C88" s="1"/>
      <c r="D88" s="1"/>
      <c r="E88" s="1"/>
      <c r="F88" s="3"/>
    </row>
    <row r="89" spans="1:6" ht="24.9" customHeight="1" x14ac:dyDescent="0.3">
      <c r="A89" s="2"/>
      <c r="B89" s="1"/>
      <c r="C89" s="1"/>
      <c r="D89" s="1"/>
      <c r="E89" s="1"/>
      <c r="F89" s="3"/>
    </row>
    <row r="90" spans="1:6" ht="24.9" customHeight="1" x14ac:dyDescent="0.3">
      <c r="A90" s="2"/>
      <c r="B90" s="1"/>
      <c r="C90" s="1"/>
      <c r="D90" s="1"/>
      <c r="E90" s="1"/>
      <c r="F90" s="3"/>
    </row>
    <row r="91" spans="1:6" ht="24.9" customHeight="1" x14ac:dyDescent="0.3">
      <c r="A91" s="2"/>
      <c r="B91" s="1"/>
      <c r="C91" s="1"/>
      <c r="D91" s="1"/>
      <c r="E91" s="1"/>
      <c r="F91" s="3"/>
    </row>
    <row r="92" spans="1:6" ht="24.9" customHeight="1" x14ac:dyDescent="0.3">
      <c r="A92" s="2"/>
      <c r="B92" s="1"/>
      <c r="C92" s="1"/>
      <c r="D92" s="1"/>
      <c r="E92" s="1"/>
      <c r="F92" s="3"/>
    </row>
    <row r="93" spans="1:6" ht="24.9" customHeight="1" x14ac:dyDescent="0.3">
      <c r="A93" s="2"/>
      <c r="B93" s="1"/>
      <c r="C93" s="1"/>
      <c r="D93" s="1"/>
      <c r="E93" s="1"/>
      <c r="F93" s="3"/>
    </row>
    <row r="94" spans="1:6" ht="24.9" customHeight="1" x14ac:dyDescent="0.3">
      <c r="A94" s="2"/>
      <c r="B94" s="1"/>
      <c r="C94" s="1"/>
      <c r="D94" s="1"/>
      <c r="E94" s="1"/>
      <c r="F94" s="3"/>
    </row>
    <row r="95" spans="1:6" ht="24.9" customHeight="1" x14ac:dyDescent="0.3">
      <c r="A95" s="2"/>
      <c r="B95" s="1"/>
      <c r="C95" s="1"/>
      <c r="D95" s="1"/>
      <c r="E95" s="1"/>
      <c r="F95" s="3"/>
    </row>
    <row r="96" spans="1:6" ht="24.9" customHeight="1" x14ac:dyDescent="0.3">
      <c r="A96" s="2"/>
      <c r="B96" s="1"/>
      <c r="C96" s="1"/>
      <c r="D96" s="1"/>
      <c r="E96" s="1"/>
      <c r="F96" s="3"/>
    </row>
    <row r="97" spans="1:6" ht="24.9" customHeight="1" x14ac:dyDescent="0.3">
      <c r="A97" s="2"/>
      <c r="B97" s="1"/>
      <c r="C97" s="1"/>
      <c r="D97" s="1"/>
      <c r="E97" s="1"/>
      <c r="F97" s="3"/>
    </row>
    <row r="98" spans="1:6" ht="24.9" customHeight="1" x14ac:dyDescent="0.3">
      <c r="A98" s="2"/>
      <c r="B98" s="1"/>
      <c r="C98" s="1"/>
      <c r="D98" s="1"/>
      <c r="E98" s="1"/>
      <c r="F98" s="3"/>
    </row>
    <row r="99" spans="1:6" ht="24.9" customHeight="1" x14ac:dyDescent="0.3">
      <c r="A99" s="2"/>
      <c r="B99" s="1"/>
      <c r="C99" s="1"/>
      <c r="D99" s="1"/>
      <c r="E99" s="1"/>
      <c r="F99" s="3"/>
    </row>
    <row r="100" spans="1:6" ht="24.9" customHeight="1" x14ac:dyDescent="0.3">
      <c r="A100" s="2"/>
      <c r="B100" s="1"/>
      <c r="C100" s="1"/>
      <c r="D100" s="1"/>
      <c r="E100" s="1"/>
      <c r="F100" s="3"/>
    </row>
    <row r="101" spans="1:6" ht="24.9" customHeight="1" x14ac:dyDescent="0.3">
      <c r="A101" s="2"/>
      <c r="B101" s="1"/>
      <c r="C101" s="1"/>
      <c r="D101" s="1"/>
      <c r="E101" s="1"/>
      <c r="F101" s="3"/>
    </row>
    <row r="102" spans="1:6" ht="24.9" customHeight="1" x14ac:dyDescent="0.3">
      <c r="A102" s="2"/>
      <c r="B102" s="1"/>
      <c r="C102" s="1"/>
      <c r="D102" s="1"/>
      <c r="E102" s="1"/>
      <c r="F102" s="3"/>
    </row>
    <row r="103" spans="1:6" ht="24.9" customHeight="1" x14ac:dyDescent="0.3">
      <c r="A103" s="2"/>
      <c r="B103" s="1"/>
      <c r="C103" s="1"/>
      <c r="D103" s="1"/>
      <c r="E103" s="1"/>
      <c r="F103" s="3"/>
    </row>
    <row r="104" spans="1:6" ht="24.9" customHeight="1" x14ac:dyDescent="0.3">
      <c r="A104" s="2"/>
      <c r="B104" s="1"/>
      <c r="C104" s="1"/>
      <c r="D104" s="1"/>
      <c r="E104" s="1"/>
      <c r="F104" s="3"/>
    </row>
    <row r="105" spans="1:6" ht="24.9" customHeight="1" x14ac:dyDescent="0.3">
      <c r="A105" s="2"/>
      <c r="B105" s="1"/>
      <c r="C105" s="1"/>
      <c r="D105" s="1"/>
      <c r="E105" s="1"/>
      <c r="F105" s="3"/>
    </row>
    <row r="106" spans="1:6" ht="24.9" customHeight="1" x14ac:dyDescent="0.3">
      <c r="A106" s="2"/>
      <c r="B106" s="1"/>
      <c r="C106" s="1"/>
      <c r="D106" s="1"/>
      <c r="E106" s="1"/>
      <c r="F106" s="3"/>
    </row>
    <row r="107" spans="1:6" ht="24.9" customHeight="1" x14ac:dyDescent="0.3">
      <c r="A107" s="2"/>
      <c r="B107" s="1"/>
      <c r="C107" s="1"/>
      <c r="D107" s="1"/>
      <c r="E107" s="1"/>
      <c r="F107" s="3"/>
    </row>
    <row r="108" spans="1:6" ht="24.9" customHeight="1" x14ac:dyDescent="0.3">
      <c r="A108" s="2"/>
      <c r="B108" s="1"/>
      <c r="C108" s="1"/>
      <c r="D108" s="1"/>
      <c r="E108" s="1"/>
      <c r="F108" s="3"/>
    </row>
    <row r="109" spans="1:6" ht="24.9" customHeight="1" x14ac:dyDescent="0.3">
      <c r="A109" s="2"/>
      <c r="B109" s="1"/>
      <c r="C109" s="1"/>
      <c r="D109" s="1"/>
      <c r="E109" s="1"/>
      <c r="F109" s="3"/>
    </row>
    <row r="110" spans="1:6" ht="24.9" customHeight="1" x14ac:dyDescent="0.3">
      <c r="A110" s="2"/>
      <c r="B110" s="1"/>
      <c r="C110" s="1"/>
      <c r="D110" s="1"/>
      <c r="E110" s="1"/>
      <c r="F110" s="3"/>
    </row>
    <row r="111" spans="1:6" ht="24.9" customHeight="1" x14ac:dyDescent="0.3">
      <c r="A111" s="2"/>
      <c r="B111" s="1"/>
      <c r="C111" s="1"/>
      <c r="D111" s="1"/>
      <c r="E111" s="1"/>
      <c r="F111" s="3"/>
    </row>
    <row r="112" spans="1:6" ht="24.9" customHeight="1" x14ac:dyDescent="0.3">
      <c r="A112" s="2"/>
      <c r="B112" s="1"/>
      <c r="C112" s="1"/>
      <c r="D112" s="1"/>
      <c r="E112" s="1"/>
      <c r="F112" s="3"/>
    </row>
    <row r="113" spans="1:6" ht="24.9" customHeight="1" thickBot="1" x14ac:dyDescent="0.35">
      <c r="A113" s="30"/>
      <c r="B113" s="31"/>
      <c r="C113" s="31"/>
      <c r="D113" s="31"/>
      <c r="E113" s="31"/>
      <c r="F113" s="63"/>
    </row>
    <row r="114" spans="1:6" ht="24.9" customHeight="1" x14ac:dyDescent="0.3">
      <c r="A114" s="95"/>
      <c r="B114" s="64"/>
      <c r="C114" s="64"/>
      <c r="D114" s="64"/>
      <c r="E114" s="64"/>
      <c r="F114" s="65"/>
    </row>
    <row r="115" spans="1:6" ht="24.9" customHeight="1" x14ac:dyDescent="0.3">
      <c r="A115" s="2"/>
      <c r="B115" s="1"/>
      <c r="C115" s="1"/>
      <c r="D115" s="1"/>
      <c r="E115" s="1"/>
      <c r="F115" s="3"/>
    </row>
    <row r="116" spans="1:6" ht="24.9" customHeight="1" x14ac:dyDescent="0.3">
      <c r="A116" s="2"/>
      <c r="B116" s="1"/>
      <c r="C116" s="1"/>
      <c r="D116" s="1"/>
      <c r="E116" s="1"/>
      <c r="F116" s="3"/>
    </row>
    <row r="117" spans="1:6" ht="24.9" customHeight="1" x14ac:dyDescent="0.3">
      <c r="A117" s="2"/>
      <c r="B117" s="1"/>
      <c r="C117" s="1"/>
      <c r="D117" s="1"/>
      <c r="E117" s="1"/>
      <c r="F117" s="3"/>
    </row>
    <row r="118" spans="1:6" ht="24.9" customHeight="1" x14ac:dyDescent="0.3">
      <c r="A118" s="2"/>
      <c r="B118" s="1"/>
      <c r="C118" s="1"/>
      <c r="D118" s="1"/>
      <c r="E118" s="1"/>
      <c r="F118" s="3"/>
    </row>
    <row r="119" spans="1:6" ht="24.9" customHeight="1" x14ac:dyDescent="0.3">
      <c r="A119" s="2"/>
      <c r="B119" s="1"/>
      <c r="C119" s="1"/>
      <c r="D119" s="1"/>
      <c r="E119" s="1"/>
      <c r="F119" s="3"/>
    </row>
    <row r="120" spans="1:6" ht="24.9" customHeight="1" x14ac:dyDescent="0.3">
      <c r="A120" s="2"/>
      <c r="B120" s="1"/>
      <c r="C120" s="1"/>
      <c r="D120" s="1"/>
      <c r="E120" s="1"/>
      <c r="F120" s="3"/>
    </row>
    <row r="121" spans="1:6" ht="24.9" customHeight="1" x14ac:dyDescent="0.3">
      <c r="A121" s="2"/>
      <c r="B121" s="1"/>
      <c r="C121" s="1"/>
      <c r="D121" s="1"/>
      <c r="E121" s="1"/>
      <c r="F121" s="3"/>
    </row>
    <row r="122" spans="1:6" ht="24.9" customHeight="1" x14ac:dyDescent="0.3">
      <c r="A122" s="2"/>
      <c r="B122" s="1"/>
      <c r="C122" s="1"/>
      <c r="D122" s="1"/>
      <c r="E122" s="1"/>
      <c r="F122" s="3"/>
    </row>
    <row r="123" spans="1:6" ht="24.9" customHeight="1" x14ac:dyDescent="0.3">
      <c r="A123" s="2"/>
      <c r="B123" s="1"/>
      <c r="C123" s="1"/>
      <c r="D123" s="1"/>
      <c r="E123" s="1"/>
      <c r="F123" s="3"/>
    </row>
    <row r="124" spans="1:6" ht="24.9" customHeight="1" x14ac:dyDescent="0.3">
      <c r="A124" s="2"/>
      <c r="B124" s="1"/>
      <c r="C124" s="1"/>
      <c r="D124" s="1"/>
      <c r="E124" s="1"/>
      <c r="F124" s="3"/>
    </row>
    <row r="125" spans="1:6" ht="24.9" customHeight="1" x14ac:dyDescent="0.3">
      <c r="A125" s="2"/>
      <c r="B125" s="1"/>
      <c r="C125" s="1"/>
      <c r="D125" s="1"/>
      <c r="E125" s="1"/>
      <c r="F125" s="3"/>
    </row>
    <row r="126" spans="1:6" ht="24.9" customHeight="1" x14ac:dyDescent="0.3">
      <c r="A126" s="2"/>
      <c r="B126" s="1"/>
      <c r="C126" s="1"/>
      <c r="D126" s="1"/>
      <c r="E126" s="1"/>
      <c r="F126" s="3"/>
    </row>
    <row r="127" spans="1:6" ht="24.9" customHeight="1" x14ac:dyDescent="0.3">
      <c r="A127" s="2"/>
      <c r="B127" s="1"/>
      <c r="C127" s="1"/>
      <c r="D127" s="1"/>
      <c r="E127" s="1"/>
      <c r="F127" s="3"/>
    </row>
    <row r="128" spans="1:6" ht="24.9" customHeight="1" x14ac:dyDescent="0.3">
      <c r="A128" s="2"/>
      <c r="B128" s="1"/>
      <c r="C128" s="1"/>
      <c r="D128" s="1"/>
      <c r="E128" s="1"/>
      <c r="F128" s="3"/>
    </row>
    <row r="129" spans="1:6" ht="24.9" customHeight="1" x14ac:dyDescent="0.3">
      <c r="A129" s="2"/>
      <c r="B129" s="1"/>
      <c r="C129" s="1"/>
      <c r="D129" s="1"/>
      <c r="E129" s="1"/>
      <c r="F129" s="3"/>
    </row>
    <row r="130" spans="1:6" ht="24.9" customHeight="1" x14ac:dyDescent="0.3">
      <c r="A130" s="2"/>
      <c r="B130" s="1"/>
      <c r="C130" s="1"/>
      <c r="D130" s="1"/>
      <c r="E130" s="1"/>
      <c r="F130" s="3"/>
    </row>
    <row r="131" spans="1:6" ht="24.9" customHeight="1" x14ac:dyDescent="0.3">
      <c r="A131" s="2"/>
      <c r="B131" s="1"/>
      <c r="C131" s="1"/>
      <c r="D131" s="1"/>
      <c r="E131" s="1"/>
      <c r="F131" s="3"/>
    </row>
    <row r="132" spans="1:6" ht="24.9" customHeight="1" x14ac:dyDescent="0.3">
      <c r="A132" s="2"/>
      <c r="B132" s="1"/>
      <c r="C132" s="1"/>
      <c r="D132" s="1"/>
      <c r="E132" s="1"/>
      <c r="F132" s="3"/>
    </row>
    <row r="133" spans="1:6" ht="24.9" customHeight="1" x14ac:dyDescent="0.3">
      <c r="A133" s="2"/>
      <c r="B133" s="1"/>
      <c r="C133" s="1"/>
      <c r="D133" s="1"/>
      <c r="E133" s="1"/>
      <c r="F133" s="3"/>
    </row>
    <row r="134" spans="1:6" ht="24.9" customHeight="1" x14ac:dyDescent="0.3">
      <c r="A134" s="2"/>
      <c r="B134" s="1"/>
      <c r="C134" s="1"/>
      <c r="D134" s="1"/>
      <c r="E134" s="1"/>
      <c r="F134" s="3"/>
    </row>
    <row r="135" spans="1:6" ht="24.9" customHeight="1" x14ac:dyDescent="0.3">
      <c r="A135" s="2"/>
      <c r="B135" s="1"/>
      <c r="C135" s="1"/>
      <c r="D135" s="1"/>
      <c r="E135" s="1"/>
      <c r="F135" s="3"/>
    </row>
    <row r="136" spans="1:6" ht="24.9" customHeight="1" x14ac:dyDescent="0.3">
      <c r="A136" s="2"/>
      <c r="B136" s="1"/>
      <c r="C136" s="1"/>
      <c r="D136" s="1"/>
      <c r="E136" s="1"/>
      <c r="F136" s="3"/>
    </row>
    <row r="137" spans="1:6" ht="24.9" customHeight="1" x14ac:dyDescent="0.3">
      <c r="A137" s="2"/>
      <c r="B137" s="1"/>
      <c r="C137" s="1"/>
      <c r="D137" s="1"/>
      <c r="E137" s="1"/>
      <c r="F137" s="3"/>
    </row>
    <row r="138" spans="1:6" ht="24.9" customHeight="1" x14ac:dyDescent="0.3">
      <c r="A138" s="2"/>
      <c r="B138" s="1"/>
      <c r="C138" s="1"/>
      <c r="D138" s="1"/>
      <c r="E138" s="1"/>
      <c r="F138" s="3"/>
    </row>
    <row r="139" spans="1:6" ht="24.9" customHeight="1" x14ac:dyDescent="0.3">
      <c r="A139" s="2"/>
      <c r="B139" s="1"/>
      <c r="C139" s="1"/>
      <c r="D139" s="1"/>
      <c r="E139" s="1"/>
      <c r="F139" s="3"/>
    </row>
    <row r="140" spans="1:6" ht="24.9" customHeight="1" x14ac:dyDescent="0.3">
      <c r="A140" s="2"/>
      <c r="B140" s="1"/>
      <c r="C140" s="1"/>
      <c r="D140" s="1"/>
      <c r="E140" s="1"/>
      <c r="F140" s="3"/>
    </row>
    <row r="141" spans="1:6" ht="24.9" customHeight="1" x14ac:dyDescent="0.3">
      <c r="A141" s="2"/>
      <c r="B141" s="1"/>
      <c r="C141" s="1"/>
      <c r="D141" s="1"/>
      <c r="E141" s="1"/>
      <c r="F141" s="3"/>
    </row>
    <row r="142" spans="1:6" ht="24.9" customHeight="1" x14ac:dyDescent="0.3">
      <c r="A142" s="2"/>
      <c r="B142" s="1"/>
      <c r="C142" s="1"/>
      <c r="D142" s="1"/>
      <c r="E142" s="1"/>
      <c r="F142" s="3"/>
    </row>
    <row r="143" spans="1:6" ht="24.9" customHeight="1" x14ac:dyDescent="0.3">
      <c r="A143" s="2"/>
      <c r="B143" s="1"/>
      <c r="C143" s="1"/>
      <c r="D143" s="1"/>
      <c r="E143" s="1"/>
      <c r="F143" s="3"/>
    </row>
    <row r="144" spans="1:6" ht="24.9" customHeight="1" x14ac:dyDescent="0.3">
      <c r="A144" s="2"/>
      <c r="B144" s="1"/>
      <c r="C144" s="1"/>
      <c r="D144" s="1"/>
      <c r="E144" s="1"/>
      <c r="F144" s="3"/>
    </row>
    <row r="145" spans="1:6" ht="24.9" customHeight="1" x14ac:dyDescent="0.3">
      <c r="A145" s="2"/>
      <c r="B145" s="1"/>
      <c r="C145" s="1"/>
      <c r="D145" s="1"/>
      <c r="E145" s="1"/>
      <c r="F145" s="3"/>
    </row>
    <row r="146" spans="1:6" ht="24.9" customHeight="1" x14ac:dyDescent="0.3">
      <c r="A146" s="2"/>
      <c r="B146" s="1"/>
      <c r="C146" s="1"/>
      <c r="D146" s="1"/>
      <c r="E146" s="1"/>
      <c r="F146" s="3"/>
    </row>
    <row r="147" spans="1:6" ht="24.9" customHeight="1" x14ac:dyDescent="0.3">
      <c r="A147" s="2"/>
      <c r="B147" s="1"/>
      <c r="C147" s="1"/>
      <c r="D147" s="1"/>
      <c r="E147" s="1"/>
      <c r="F147" s="3"/>
    </row>
    <row r="148" spans="1:6" ht="24.9" customHeight="1" x14ac:dyDescent="0.3">
      <c r="A148" s="2"/>
      <c r="B148" s="1"/>
      <c r="C148" s="1"/>
      <c r="D148" s="1"/>
      <c r="E148" s="1"/>
      <c r="F148" s="3"/>
    </row>
    <row r="149" spans="1:6" ht="24.9" customHeight="1" x14ac:dyDescent="0.3">
      <c r="A149" s="2"/>
      <c r="B149" s="1"/>
      <c r="C149" s="1"/>
      <c r="D149" s="1"/>
      <c r="E149" s="1"/>
      <c r="F149" s="3"/>
    </row>
    <row r="150" spans="1:6" ht="24.9" customHeight="1" x14ac:dyDescent="0.3">
      <c r="A150" s="2"/>
      <c r="B150" s="1"/>
      <c r="C150" s="1"/>
      <c r="D150" s="1"/>
      <c r="E150" s="1"/>
      <c r="F150" s="3"/>
    </row>
    <row r="151" spans="1:6" ht="24.9" customHeight="1" x14ac:dyDescent="0.3">
      <c r="A151" s="2"/>
      <c r="B151" s="1"/>
      <c r="C151" s="1"/>
      <c r="D151" s="1"/>
      <c r="E151" s="1"/>
      <c r="F151" s="3"/>
    </row>
    <row r="152" spans="1:6" ht="24.9" customHeight="1" x14ac:dyDescent="0.3">
      <c r="A152" s="2"/>
      <c r="B152" s="1"/>
      <c r="C152" s="1"/>
      <c r="D152" s="1"/>
      <c r="E152" s="1"/>
      <c r="F152" s="3"/>
    </row>
    <row r="153" spans="1:6" ht="24.9" customHeight="1" x14ac:dyDescent="0.3">
      <c r="A153" s="2"/>
      <c r="B153" s="1"/>
      <c r="C153" s="1"/>
      <c r="D153" s="1"/>
      <c r="E153" s="1"/>
      <c r="F153" s="3"/>
    </row>
    <row r="154" spans="1:6" ht="24.9" customHeight="1" x14ac:dyDescent="0.3">
      <c r="A154" s="2"/>
      <c r="B154" s="1"/>
      <c r="C154" s="1"/>
      <c r="D154" s="1"/>
      <c r="E154" s="1"/>
      <c r="F154" s="3"/>
    </row>
    <row r="155" spans="1:6" ht="24.9" customHeight="1" x14ac:dyDescent="0.3">
      <c r="A155" s="2"/>
      <c r="B155" s="1"/>
      <c r="C155" s="1"/>
      <c r="D155" s="1"/>
      <c r="E155" s="1"/>
      <c r="F155" s="3"/>
    </row>
    <row r="156" spans="1:6" ht="24.9" customHeight="1" x14ac:dyDescent="0.3">
      <c r="A156" s="2"/>
      <c r="B156" s="1"/>
      <c r="C156" s="1"/>
      <c r="D156" s="1"/>
      <c r="E156" s="1"/>
      <c r="F156" s="3"/>
    </row>
    <row r="157" spans="1:6" ht="24.9" customHeight="1" x14ac:dyDescent="0.3">
      <c r="A157" s="2"/>
      <c r="B157" s="1"/>
      <c r="C157" s="1"/>
      <c r="D157" s="1"/>
      <c r="E157" s="1"/>
      <c r="F157" s="3"/>
    </row>
    <row r="158" spans="1:6" ht="24.9" customHeight="1" x14ac:dyDescent="0.3">
      <c r="A158" s="2"/>
      <c r="B158" s="1"/>
      <c r="C158" s="1"/>
      <c r="D158" s="1"/>
      <c r="E158" s="1"/>
      <c r="F158" s="3"/>
    </row>
    <row r="159" spans="1:6" ht="24.9" customHeight="1" x14ac:dyDescent="0.3">
      <c r="A159" s="2"/>
      <c r="B159" s="1"/>
      <c r="C159" s="1"/>
      <c r="D159" s="1"/>
      <c r="E159" s="1"/>
      <c r="F159" s="3"/>
    </row>
    <row r="160" spans="1:6" ht="24.9" customHeight="1" x14ac:dyDescent="0.3">
      <c r="A160" s="2"/>
      <c r="B160" s="1"/>
      <c r="C160" s="1"/>
      <c r="D160" s="1"/>
      <c r="E160" s="1"/>
      <c r="F160" s="3"/>
    </row>
    <row r="161" spans="1:6" ht="24.9" customHeight="1" x14ac:dyDescent="0.3">
      <c r="A161" s="2"/>
      <c r="B161" s="1"/>
      <c r="C161" s="1"/>
      <c r="D161" s="1"/>
      <c r="E161" s="1"/>
      <c r="F161" s="3"/>
    </row>
    <row r="162" spans="1:6" ht="24.9" customHeight="1" x14ac:dyDescent="0.3">
      <c r="A162" s="2"/>
      <c r="B162" s="1"/>
      <c r="C162" s="1"/>
      <c r="D162" s="1"/>
      <c r="E162" s="1"/>
      <c r="F162" s="3"/>
    </row>
    <row r="163" spans="1:6" ht="24.9" customHeight="1" x14ac:dyDescent="0.3">
      <c r="A163" s="2"/>
      <c r="B163" s="1"/>
      <c r="C163" s="1"/>
      <c r="D163" s="1"/>
      <c r="E163" s="1"/>
      <c r="F163" s="3"/>
    </row>
    <row r="164" spans="1:6" ht="24.9" customHeight="1" x14ac:dyDescent="0.3">
      <c r="A164" s="2"/>
      <c r="B164" s="1"/>
      <c r="C164" s="1"/>
      <c r="D164" s="1"/>
      <c r="E164" s="1"/>
      <c r="F164" s="3"/>
    </row>
    <row r="165" spans="1:6" ht="24.9" customHeight="1" x14ac:dyDescent="0.3">
      <c r="A165" s="2"/>
      <c r="B165" s="1"/>
      <c r="C165" s="1"/>
      <c r="D165" s="1"/>
      <c r="E165" s="1"/>
      <c r="F165" s="3"/>
    </row>
    <row r="166" spans="1:6" ht="24.9" customHeight="1" thickBot="1" x14ac:dyDescent="0.35">
      <c r="A166" s="30"/>
      <c r="B166" s="31"/>
      <c r="C166" s="31"/>
      <c r="D166" s="31"/>
      <c r="E166" s="31"/>
      <c r="F166" s="63"/>
    </row>
    <row r="167" spans="1:6" ht="24.9" customHeight="1" x14ac:dyDescent="0.3"/>
    <row r="168" spans="1:6" ht="24.9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34"/>
  <sheetViews>
    <sheetView topLeftCell="A4" workbookViewId="0">
      <selection activeCell="E12" sqref="E12"/>
    </sheetView>
  </sheetViews>
  <sheetFormatPr defaultRowHeight="14.4" x14ac:dyDescent="0.3"/>
  <cols>
    <col min="2" max="2" width="31.88671875" customWidth="1"/>
    <col min="3" max="4" width="15.6640625" customWidth="1"/>
    <col min="5" max="5" width="18.109375" customWidth="1"/>
    <col min="6" max="6" width="15.6640625" customWidth="1"/>
  </cols>
  <sheetData>
    <row r="1" spans="2:5" ht="24.9" customHeight="1" x14ac:dyDescent="0.3"/>
    <row r="2" spans="2:5" ht="24.9" customHeight="1" x14ac:dyDescent="0.3"/>
    <row r="3" spans="2:5" ht="24.9" customHeight="1" thickBot="1" x14ac:dyDescent="0.35"/>
    <row r="4" spans="2:5" ht="34.5" customHeight="1" thickBot="1" x14ac:dyDescent="0.35">
      <c r="B4" s="32" t="s">
        <v>16</v>
      </c>
      <c r="C4" s="29" t="s">
        <v>2</v>
      </c>
      <c r="D4" s="33" t="s">
        <v>17</v>
      </c>
      <c r="E4" s="29" t="s">
        <v>18</v>
      </c>
    </row>
    <row r="5" spans="2:5" ht="24.9" customHeight="1" x14ac:dyDescent="0.3">
      <c r="B5" s="34" t="s">
        <v>19</v>
      </c>
      <c r="C5" s="35">
        <v>22</v>
      </c>
      <c r="D5" s="35">
        <v>45000</v>
      </c>
      <c r="E5" s="36">
        <f>C5*D5</f>
        <v>990000</v>
      </c>
    </row>
    <row r="6" spans="2:5" ht="24.9" customHeight="1" x14ac:dyDescent="0.3">
      <c r="B6" s="37" t="s">
        <v>20</v>
      </c>
      <c r="C6" s="38">
        <v>4</v>
      </c>
      <c r="D6" s="38">
        <v>70000</v>
      </c>
      <c r="E6" s="36">
        <f t="shared" ref="E6:E10" si="0">C6*D6</f>
        <v>280000</v>
      </c>
    </row>
    <row r="7" spans="2:5" ht="24.9" customHeight="1" x14ac:dyDescent="0.3">
      <c r="B7" s="37" t="s">
        <v>21</v>
      </c>
      <c r="C7" s="38">
        <v>2</v>
      </c>
      <c r="D7" s="38">
        <v>70000</v>
      </c>
      <c r="E7" s="36">
        <f t="shared" si="0"/>
        <v>140000</v>
      </c>
    </row>
    <row r="8" spans="2:5" ht="24.9" customHeight="1" x14ac:dyDescent="0.3">
      <c r="B8" s="37" t="s">
        <v>22</v>
      </c>
      <c r="C8" s="38">
        <v>2</v>
      </c>
      <c r="D8" s="38">
        <v>75000</v>
      </c>
      <c r="E8" s="36">
        <f t="shared" si="0"/>
        <v>150000</v>
      </c>
    </row>
    <row r="9" spans="2:5" ht="24.9" customHeight="1" x14ac:dyDescent="0.3">
      <c r="B9" s="37" t="s">
        <v>23</v>
      </c>
      <c r="C9" s="38">
        <v>1</v>
      </c>
      <c r="D9" s="38">
        <v>125000</v>
      </c>
      <c r="E9" s="36">
        <f t="shared" si="0"/>
        <v>125000</v>
      </c>
    </row>
    <row r="10" spans="2:5" ht="24.9" customHeight="1" x14ac:dyDescent="0.3">
      <c r="B10" s="37" t="s">
        <v>24</v>
      </c>
      <c r="C10" s="38">
        <v>2</v>
      </c>
      <c r="D10" s="38">
        <v>175000</v>
      </c>
      <c r="E10" s="36">
        <f t="shared" si="0"/>
        <v>350000</v>
      </c>
    </row>
    <row r="11" spans="2:5" ht="24.9" customHeight="1" thickBot="1" x14ac:dyDescent="0.35">
      <c r="B11" s="45"/>
      <c r="C11" s="46"/>
      <c r="D11" s="46"/>
      <c r="E11" s="47"/>
    </row>
    <row r="12" spans="2:5" ht="24.9" customHeight="1" thickBot="1" x14ac:dyDescent="0.35">
      <c r="B12" s="7" t="s">
        <v>12</v>
      </c>
      <c r="C12" s="8">
        <f>SUM(C5:C11)</f>
        <v>33</v>
      </c>
      <c r="D12" s="8"/>
      <c r="E12" s="48">
        <f>SUM(E5:E11)</f>
        <v>2035000</v>
      </c>
    </row>
    <row r="13" spans="2:5" ht="24.9" customHeight="1" x14ac:dyDescent="0.3">
      <c r="B13" s="41"/>
      <c r="C13" s="42"/>
      <c r="D13" s="42"/>
      <c r="E13" s="35"/>
    </row>
    <row r="14" spans="2:5" ht="24.9" customHeight="1" thickBot="1" x14ac:dyDescent="0.35">
      <c r="B14" s="43"/>
      <c r="C14" s="44"/>
      <c r="D14" s="44"/>
      <c r="E14" s="44"/>
    </row>
    <row r="15" spans="2:5" ht="24.9" customHeight="1" x14ac:dyDescent="0.3">
      <c r="B15" s="41"/>
      <c r="C15" s="42"/>
      <c r="D15" s="42"/>
      <c r="E15" s="42"/>
    </row>
    <row r="16" spans="2:5" ht="24.9" customHeight="1" x14ac:dyDescent="0.3">
      <c r="B16" s="39"/>
      <c r="C16" s="40"/>
      <c r="D16" s="40"/>
      <c r="E16" s="40"/>
    </row>
    <row r="17" spans="2:5" ht="24.9" customHeight="1" x14ac:dyDescent="0.3">
      <c r="B17" s="39"/>
      <c r="C17" s="40"/>
      <c r="D17" s="40"/>
      <c r="E17" s="40"/>
    </row>
    <row r="18" spans="2:5" ht="24.9" customHeight="1" x14ac:dyDescent="0.3">
      <c r="B18" s="39"/>
      <c r="C18" s="40"/>
      <c r="D18" s="40"/>
      <c r="E18" s="40"/>
    </row>
    <row r="19" spans="2:5" ht="24.9" customHeight="1" x14ac:dyDescent="0.3">
      <c r="B19" s="39"/>
      <c r="C19" s="40"/>
      <c r="D19" s="40"/>
      <c r="E19" s="40"/>
    </row>
    <row r="20" spans="2:5" ht="24.9" customHeight="1" x14ac:dyDescent="0.3">
      <c r="B20" s="39"/>
      <c r="C20" s="40"/>
      <c r="D20" s="40"/>
      <c r="E20" s="40"/>
    </row>
    <row r="21" spans="2:5" ht="24.9" customHeight="1" x14ac:dyDescent="0.3">
      <c r="B21" s="2"/>
      <c r="C21" s="1"/>
      <c r="D21" s="1"/>
      <c r="E21" s="1"/>
    </row>
    <row r="22" spans="2:5" ht="24.9" customHeight="1" x14ac:dyDescent="0.3">
      <c r="B22" s="2"/>
      <c r="C22" s="1"/>
      <c r="D22" s="1"/>
      <c r="E22" s="1"/>
    </row>
    <row r="23" spans="2:5" ht="24.9" customHeight="1" x14ac:dyDescent="0.3">
      <c r="B23" s="2"/>
      <c r="C23" s="1"/>
      <c r="D23" s="1"/>
      <c r="E23" s="1"/>
    </row>
    <row r="24" spans="2:5" ht="24.9" customHeight="1" x14ac:dyDescent="0.3">
      <c r="B24" s="2"/>
      <c r="C24" s="1"/>
      <c r="D24" s="1"/>
      <c r="E24" s="1"/>
    </row>
    <row r="25" spans="2:5" ht="24.9" customHeight="1" x14ac:dyDescent="0.3">
      <c r="B25" s="2"/>
      <c r="C25" s="1"/>
      <c r="D25" s="1"/>
      <c r="E25" s="1"/>
    </row>
    <row r="26" spans="2:5" ht="24.9" customHeight="1" x14ac:dyDescent="0.3">
      <c r="B26" s="2"/>
      <c r="C26" s="1"/>
      <c r="D26" s="1"/>
      <c r="E26" s="1"/>
    </row>
    <row r="27" spans="2:5" ht="24.9" customHeight="1" x14ac:dyDescent="0.3">
      <c r="B27" s="2"/>
      <c r="C27" s="1"/>
      <c r="D27" s="1"/>
      <c r="E27" s="1"/>
    </row>
    <row r="28" spans="2:5" ht="24.9" customHeight="1" x14ac:dyDescent="0.3">
      <c r="B28" s="2"/>
      <c r="C28" s="1"/>
      <c r="D28" s="1"/>
      <c r="E28" s="1"/>
    </row>
    <row r="29" spans="2:5" ht="24.9" customHeight="1" x14ac:dyDescent="0.3">
      <c r="B29" s="2"/>
      <c r="C29" s="1"/>
      <c r="D29" s="1"/>
      <c r="E29" s="1"/>
    </row>
    <row r="30" spans="2:5" ht="24.9" customHeight="1" thickBot="1" x14ac:dyDescent="0.35">
      <c r="B30" s="30"/>
      <c r="C30" s="31"/>
      <c r="D30" s="31"/>
      <c r="E30" s="31"/>
    </row>
    <row r="31" spans="2:5" ht="24.9" customHeight="1" x14ac:dyDescent="0.3"/>
    <row r="32" spans="2:5" ht="24.9" customHeight="1" x14ac:dyDescent="0.3"/>
    <row r="33" ht="24.9" customHeight="1" x14ac:dyDescent="0.3"/>
    <row r="34" ht="24.9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0"/>
  <sheetViews>
    <sheetView topLeftCell="A112" workbookViewId="0">
      <selection activeCell="E178" sqref="E178"/>
    </sheetView>
  </sheetViews>
  <sheetFormatPr defaultRowHeight="14.4" x14ac:dyDescent="0.3"/>
  <cols>
    <col min="2" max="2" width="17.44140625" customWidth="1"/>
    <col min="3" max="3" width="72.109375" customWidth="1"/>
    <col min="4" max="4" width="17.88671875" customWidth="1"/>
    <col min="5" max="5" width="15.6640625" customWidth="1"/>
    <col min="6" max="6" width="15.6640625" style="98" customWidth="1"/>
    <col min="7" max="11" width="15.6640625" customWidth="1"/>
  </cols>
  <sheetData>
    <row r="1" spans="1:9" ht="24.9" customHeight="1" x14ac:dyDescent="0.3">
      <c r="F1" s="26"/>
    </row>
    <row r="2" spans="1:9" ht="24.9" customHeight="1" thickBot="1" x14ac:dyDescent="0.35">
      <c r="F2" s="26"/>
    </row>
    <row r="3" spans="1:9" ht="24.9" customHeight="1" thickBot="1" x14ac:dyDescent="0.35">
      <c r="A3" s="92" t="s">
        <v>29</v>
      </c>
      <c r="B3" s="93" t="s">
        <v>0</v>
      </c>
      <c r="C3" s="93" t="s">
        <v>26</v>
      </c>
      <c r="D3" s="93" t="s">
        <v>27</v>
      </c>
      <c r="E3" s="93" t="s">
        <v>28</v>
      </c>
      <c r="F3" s="99" t="s">
        <v>25</v>
      </c>
      <c r="G3" s="68"/>
      <c r="H3" s="66"/>
      <c r="I3" s="67"/>
    </row>
    <row r="4" spans="1:9" ht="24.9" customHeight="1" x14ac:dyDescent="0.3">
      <c r="A4" s="127">
        <v>1</v>
      </c>
      <c r="B4" s="128">
        <v>42897</v>
      </c>
      <c r="C4" s="129" t="s">
        <v>78</v>
      </c>
      <c r="D4" s="130"/>
      <c r="E4" s="130">
        <v>1000</v>
      </c>
      <c r="F4" s="100">
        <f>D4-E4</f>
        <v>-1000</v>
      </c>
      <c r="G4" s="89"/>
      <c r="H4" s="90"/>
      <c r="I4" s="91"/>
    </row>
    <row r="5" spans="1:9" ht="24.9" customHeight="1" x14ac:dyDescent="0.3">
      <c r="A5" s="96">
        <v>2</v>
      </c>
      <c r="B5" s="105">
        <v>42897</v>
      </c>
      <c r="C5" s="110" t="s">
        <v>35</v>
      </c>
      <c r="D5" s="79"/>
      <c r="E5" s="79">
        <v>320</v>
      </c>
      <c r="F5" s="101">
        <f>F4+D5-E5</f>
        <v>-1320</v>
      </c>
      <c r="G5" s="89"/>
      <c r="H5" s="90"/>
      <c r="I5" s="91"/>
    </row>
    <row r="6" spans="1:9" ht="24.9" customHeight="1" x14ac:dyDescent="0.3">
      <c r="A6" s="96">
        <v>3</v>
      </c>
      <c r="B6" s="105">
        <v>42897</v>
      </c>
      <c r="C6" s="110" t="s">
        <v>79</v>
      </c>
      <c r="D6" s="79"/>
      <c r="E6" s="79">
        <v>20</v>
      </c>
      <c r="F6" s="101">
        <f t="shared" ref="F6:F78" si="0">F5+D6-E6</f>
        <v>-1340</v>
      </c>
      <c r="G6" s="89"/>
      <c r="H6" s="90"/>
      <c r="I6" s="91"/>
    </row>
    <row r="7" spans="1:9" ht="24.9" customHeight="1" x14ac:dyDescent="0.3">
      <c r="A7" s="96">
        <v>4</v>
      </c>
      <c r="B7" s="105">
        <v>42897</v>
      </c>
      <c r="C7" s="110" t="s">
        <v>31</v>
      </c>
      <c r="D7" s="79"/>
      <c r="E7" s="79">
        <v>60</v>
      </c>
      <c r="F7" s="101">
        <f t="shared" si="0"/>
        <v>-1400</v>
      </c>
      <c r="G7" s="89"/>
      <c r="H7" s="90"/>
      <c r="I7" s="91"/>
    </row>
    <row r="8" spans="1:9" ht="24.9" customHeight="1" x14ac:dyDescent="0.3">
      <c r="A8" s="96">
        <v>5</v>
      </c>
      <c r="B8" s="105">
        <v>42897</v>
      </c>
      <c r="C8" s="110" t="s">
        <v>80</v>
      </c>
      <c r="D8" s="79"/>
      <c r="E8" s="79">
        <v>70</v>
      </c>
      <c r="F8" s="101">
        <f t="shared" si="0"/>
        <v>-1470</v>
      </c>
      <c r="G8" s="89"/>
      <c r="H8" s="90"/>
      <c r="I8" s="91"/>
    </row>
    <row r="9" spans="1:9" ht="24.9" customHeight="1" x14ac:dyDescent="0.3">
      <c r="A9" s="96">
        <v>6</v>
      </c>
      <c r="B9" s="105">
        <v>42927</v>
      </c>
      <c r="C9" s="110" t="s">
        <v>51</v>
      </c>
      <c r="D9" s="79"/>
      <c r="E9" s="79">
        <v>1000</v>
      </c>
      <c r="F9" s="101">
        <f t="shared" si="0"/>
        <v>-2470</v>
      </c>
      <c r="G9" s="89"/>
      <c r="H9" s="90"/>
      <c r="I9" s="91"/>
    </row>
    <row r="10" spans="1:9" ht="24.9" customHeight="1" x14ac:dyDescent="0.3">
      <c r="A10" s="131">
        <v>7</v>
      </c>
      <c r="B10" s="132">
        <v>42927</v>
      </c>
      <c r="C10" s="112" t="s">
        <v>81</v>
      </c>
      <c r="D10" s="133"/>
      <c r="E10" s="133">
        <v>1000</v>
      </c>
      <c r="F10" s="101">
        <f t="shared" si="0"/>
        <v>-3470</v>
      </c>
      <c r="G10" s="89"/>
      <c r="H10" s="90"/>
      <c r="I10" s="91"/>
    </row>
    <row r="11" spans="1:9" ht="24.9" customHeight="1" x14ac:dyDescent="0.3">
      <c r="A11" s="96">
        <v>8</v>
      </c>
      <c r="B11" s="105">
        <v>42927</v>
      </c>
      <c r="C11" s="110" t="s">
        <v>82</v>
      </c>
      <c r="D11" s="79"/>
      <c r="E11" s="79">
        <v>2500</v>
      </c>
      <c r="F11" s="101">
        <f>F10+D11-E11</f>
        <v>-5970</v>
      </c>
      <c r="G11" s="89"/>
      <c r="H11" s="90"/>
      <c r="I11" s="91"/>
    </row>
    <row r="12" spans="1:9" ht="24.9" customHeight="1" x14ac:dyDescent="0.3">
      <c r="A12" s="96">
        <v>9</v>
      </c>
      <c r="B12" s="105">
        <v>42927</v>
      </c>
      <c r="C12" s="110" t="s">
        <v>83</v>
      </c>
      <c r="D12" s="79"/>
      <c r="E12" s="79">
        <v>1100</v>
      </c>
      <c r="F12" s="101">
        <v>-7070</v>
      </c>
      <c r="G12" s="89"/>
      <c r="H12" s="90"/>
      <c r="I12" s="91"/>
    </row>
    <row r="13" spans="1:9" ht="24.9" customHeight="1" x14ac:dyDescent="0.3">
      <c r="A13" s="96">
        <v>10</v>
      </c>
      <c r="B13" s="105">
        <v>42927</v>
      </c>
      <c r="C13" s="110" t="s">
        <v>84</v>
      </c>
      <c r="D13" s="79"/>
      <c r="E13" s="79">
        <v>100</v>
      </c>
      <c r="F13" s="101">
        <v>-7170</v>
      </c>
      <c r="G13" s="89"/>
      <c r="H13" s="90"/>
      <c r="I13" s="91"/>
    </row>
    <row r="14" spans="1:9" ht="24.9" customHeight="1" x14ac:dyDescent="0.3">
      <c r="A14" s="96">
        <v>11</v>
      </c>
      <c r="B14" s="105">
        <v>42927</v>
      </c>
      <c r="C14" s="110" t="s">
        <v>32</v>
      </c>
      <c r="D14" s="79"/>
      <c r="E14" s="79">
        <v>200</v>
      </c>
      <c r="F14" s="101">
        <v>-7370</v>
      </c>
      <c r="G14" s="89"/>
      <c r="H14" s="90"/>
      <c r="I14" s="91"/>
    </row>
    <row r="15" spans="1:9" ht="24.9" customHeight="1" x14ac:dyDescent="0.3">
      <c r="A15" s="96">
        <v>12</v>
      </c>
      <c r="B15" s="105">
        <v>42927</v>
      </c>
      <c r="C15" s="110" t="s">
        <v>85</v>
      </c>
      <c r="D15" s="79"/>
      <c r="E15" s="79">
        <v>200</v>
      </c>
      <c r="F15" s="101">
        <v>-7570</v>
      </c>
      <c r="G15" s="89"/>
      <c r="H15" s="90"/>
      <c r="I15" s="91"/>
    </row>
    <row r="16" spans="1:9" ht="24.9" customHeight="1" x14ac:dyDescent="0.3">
      <c r="A16" s="96">
        <v>13</v>
      </c>
      <c r="B16" s="105">
        <v>42927</v>
      </c>
      <c r="C16" s="110" t="s">
        <v>86</v>
      </c>
      <c r="D16" s="79"/>
      <c r="E16" s="79">
        <v>100</v>
      </c>
      <c r="F16" s="101">
        <v>-7670</v>
      </c>
      <c r="G16" s="89"/>
      <c r="H16" s="90"/>
      <c r="I16" s="91"/>
    </row>
    <row r="17" spans="1:9" ht="24.9" customHeight="1" x14ac:dyDescent="0.3">
      <c r="A17" s="96">
        <v>14</v>
      </c>
      <c r="B17" s="105">
        <v>42958</v>
      </c>
      <c r="C17" s="110" t="s">
        <v>92</v>
      </c>
      <c r="D17" s="79"/>
      <c r="E17" s="79">
        <v>420</v>
      </c>
      <c r="F17" s="101">
        <v>-8090</v>
      </c>
      <c r="G17" s="89"/>
      <c r="H17" s="90"/>
      <c r="I17" s="91"/>
    </row>
    <row r="18" spans="1:9" ht="24.9" customHeight="1" x14ac:dyDescent="0.3">
      <c r="A18" s="96">
        <v>15</v>
      </c>
      <c r="B18" s="105">
        <v>42958</v>
      </c>
      <c r="C18" s="110" t="s">
        <v>87</v>
      </c>
      <c r="D18" s="79"/>
      <c r="E18" s="79">
        <v>150</v>
      </c>
      <c r="F18" s="101">
        <v>-8240</v>
      </c>
      <c r="G18" s="89"/>
      <c r="H18" s="90"/>
      <c r="I18" s="91"/>
    </row>
    <row r="19" spans="1:9" ht="24.9" customHeight="1" x14ac:dyDescent="0.3">
      <c r="A19" s="96">
        <v>16</v>
      </c>
      <c r="B19" s="105">
        <v>42958</v>
      </c>
      <c r="C19" s="110" t="s">
        <v>88</v>
      </c>
      <c r="D19" s="79"/>
      <c r="E19" s="79">
        <v>110</v>
      </c>
      <c r="F19" s="101">
        <v>-8350</v>
      </c>
      <c r="G19" s="89"/>
      <c r="H19" s="90"/>
      <c r="I19" s="91"/>
    </row>
    <row r="20" spans="1:9" ht="24.9" customHeight="1" x14ac:dyDescent="0.3">
      <c r="A20" s="96">
        <v>17</v>
      </c>
      <c r="B20" s="105">
        <v>42958</v>
      </c>
      <c r="C20" s="110" t="s">
        <v>89</v>
      </c>
      <c r="D20" s="79"/>
      <c r="E20" s="79">
        <v>90</v>
      </c>
      <c r="F20" s="101">
        <v>-8440</v>
      </c>
      <c r="G20" s="89"/>
      <c r="H20" s="90"/>
      <c r="I20" s="91"/>
    </row>
    <row r="21" spans="1:9" ht="24.9" customHeight="1" x14ac:dyDescent="0.35">
      <c r="A21" s="134">
        <v>18</v>
      </c>
      <c r="B21" s="135">
        <v>43048</v>
      </c>
      <c r="C21" s="136" t="s">
        <v>30</v>
      </c>
      <c r="D21" s="137">
        <v>10000</v>
      </c>
      <c r="E21" s="138"/>
      <c r="F21" s="101">
        <v>1560</v>
      </c>
      <c r="G21" s="69"/>
      <c r="H21" s="64"/>
      <c r="I21" s="65"/>
    </row>
    <row r="22" spans="1:9" ht="24.9" customHeight="1" x14ac:dyDescent="0.35">
      <c r="A22" s="113">
        <v>19</v>
      </c>
      <c r="B22" s="109">
        <v>43048</v>
      </c>
      <c r="C22" s="110" t="s">
        <v>31</v>
      </c>
      <c r="D22" s="79"/>
      <c r="E22" s="73">
        <v>50</v>
      </c>
      <c r="F22" s="101">
        <f t="shared" si="0"/>
        <v>1510</v>
      </c>
      <c r="G22" s="70"/>
      <c r="H22" s="1"/>
      <c r="I22" s="3"/>
    </row>
    <row r="23" spans="1:9" ht="24.9" customHeight="1" x14ac:dyDescent="0.35">
      <c r="A23" s="113">
        <v>20</v>
      </c>
      <c r="B23" s="109">
        <v>43048</v>
      </c>
      <c r="C23" s="110" t="s">
        <v>32</v>
      </c>
      <c r="D23" s="79"/>
      <c r="E23" s="73">
        <v>150</v>
      </c>
      <c r="F23" s="101">
        <f>F22+D23-E23</f>
        <v>1360</v>
      </c>
      <c r="G23" s="70"/>
      <c r="H23" s="1"/>
      <c r="I23" s="3"/>
    </row>
    <row r="24" spans="1:9" ht="24.9" customHeight="1" x14ac:dyDescent="0.35">
      <c r="A24" s="113">
        <v>21</v>
      </c>
      <c r="B24" s="109">
        <v>43048</v>
      </c>
      <c r="C24" s="110" t="s">
        <v>33</v>
      </c>
      <c r="D24" s="79"/>
      <c r="E24" s="73">
        <v>50</v>
      </c>
      <c r="F24" s="101">
        <f t="shared" si="0"/>
        <v>1310</v>
      </c>
      <c r="G24" s="70"/>
      <c r="H24" s="1"/>
      <c r="I24" s="3"/>
    </row>
    <row r="25" spans="1:9" ht="24.9" customHeight="1" x14ac:dyDescent="0.35">
      <c r="A25" s="113">
        <v>22</v>
      </c>
      <c r="B25" s="109">
        <v>43048</v>
      </c>
      <c r="C25" s="110" t="s">
        <v>34</v>
      </c>
      <c r="D25" s="79"/>
      <c r="E25" s="73">
        <v>50</v>
      </c>
      <c r="F25" s="101">
        <f t="shared" si="0"/>
        <v>1260</v>
      </c>
      <c r="G25" s="70"/>
      <c r="H25" s="1"/>
      <c r="I25" s="3"/>
    </row>
    <row r="26" spans="1:9" ht="24.9" customHeight="1" x14ac:dyDescent="0.35">
      <c r="A26" s="113">
        <v>23</v>
      </c>
      <c r="B26" s="109">
        <v>43048</v>
      </c>
      <c r="C26" s="110" t="s">
        <v>58</v>
      </c>
      <c r="D26" s="114"/>
      <c r="E26" s="73">
        <v>60</v>
      </c>
      <c r="F26" s="101">
        <f t="shared" si="0"/>
        <v>1200</v>
      </c>
      <c r="G26" s="70"/>
      <c r="H26" s="1"/>
      <c r="I26" s="3"/>
    </row>
    <row r="27" spans="1:9" ht="24.9" customHeight="1" x14ac:dyDescent="0.35">
      <c r="A27" s="113">
        <v>24</v>
      </c>
      <c r="B27" s="109">
        <v>43048</v>
      </c>
      <c r="C27" s="110" t="s">
        <v>59</v>
      </c>
      <c r="D27" s="114"/>
      <c r="E27" s="73">
        <v>20</v>
      </c>
      <c r="F27" s="101">
        <f t="shared" si="0"/>
        <v>1180</v>
      </c>
      <c r="G27" s="70"/>
      <c r="H27" s="1"/>
      <c r="I27" s="3"/>
    </row>
    <row r="28" spans="1:9" ht="24.9" customHeight="1" x14ac:dyDescent="0.35">
      <c r="A28" s="113">
        <v>25</v>
      </c>
      <c r="B28" s="109">
        <v>43048</v>
      </c>
      <c r="C28" s="110" t="s">
        <v>60</v>
      </c>
      <c r="D28" s="114"/>
      <c r="E28" s="73">
        <v>40</v>
      </c>
      <c r="F28" s="101">
        <f t="shared" si="0"/>
        <v>1140</v>
      </c>
      <c r="G28" s="70"/>
      <c r="H28" s="1"/>
      <c r="I28" s="3"/>
    </row>
    <row r="29" spans="1:9" ht="24.9" customHeight="1" x14ac:dyDescent="0.35">
      <c r="A29" s="113">
        <v>26</v>
      </c>
      <c r="B29" s="109">
        <v>43048</v>
      </c>
      <c r="C29" s="111" t="s">
        <v>61</v>
      </c>
      <c r="D29" s="114"/>
      <c r="E29" s="73">
        <v>500</v>
      </c>
      <c r="F29" s="101">
        <f t="shared" si="0"/>
        <v>640</v>
      </c>
      <c r="G29" s="70"/>
      <c r="H29" s="1"/>
      <c r="I29" s="3"/>
    </row>
    <row r="30" spans="1:9" ht="24.9" customHeight="1" x14ac:dyDescent="0.35">
      <c r="A30" s="113">
        <v>27</v>
      </c>
      <c r="B30" s="109">
        <v>43048</v>
      </c>
      <c r="C30" s="111" t="s">
        <v>62</v>
      </c>
      <c r="D30" s="114"/>
      <c r="E30" s="73">
        <v>72</v>
      </c>
      <c r="F30" s="101">
        <f t="shared" si="0"/>
        <v>568</v>
      </c>
      <c r="G30" s="70"/>
      <c r="H30" s="1"/>
      <c r="I30" s="3"/>
    </row>
    <row r="31" spans="1:9" ht="24.9" customHeight="1" x14ac:dyDescent="0.35">
      <c r="A31" s="113">
        <v>28</v>
      </c>
      <c r="B31" s="109">
        <v>43048</v>
      </c>
      <c r="C31" s="111" t="s">
        <v>63</v>
      </c>
      <c r="D31" s="114"/>
      <c r="E31" s="73">
        <v>130</v>
      </c>
      <c r="F31" s="101">
        <f t="shared" si="0"/>
        <v>438</v>
      </c>
      <c r="G31" s="70"/>
      <c r="H31" s="1"/>
      <c r="I31" s="3"/>
    </row>
    <row r="32" spans="1:9" ht="24.9" customHeight="1" x14ac:dyDescent="0.35">
      <c r="A32" s="113">
        <v>29</v>
      </c>
      <c r="B32" s="109">
        <v>43048</v>
      </c>
      <c r="C32" s="111" t="s">
        <v>64</v>
      </c>
      <c r="D32" s="114"/>
      <c r="E32" s="73">
        <v>150</v>
      </c>
      <c r="F32" s="101">
        <f t="shared" si="0"/>
        <v>288</v>
      </c>
      <c r="G32" s="70"/>
      <c r="H32" s="1"/>
      <c r="I32" s="3"/>
    </row>
    <row r="33" spans="1:9" ht="24.9" customHeight="1" x14ac:dyDescent="0.35">
      <c r="A33" s="113">
        <v>30</v>
      </c>
      <c r="B33" s="109">
        <v>43048</v>
      </c>
      <c r="C33" s="111" t="s">
        <v>65</v>
      </c>
      <c r="D33" s="114"/>
      <c r="E33" s="73">
        <v>20</v>
      </c>
      <c r="F33" s="101">
        <f t="shared" si="0"/>
        <v>268</v>
      </c>
      <c r="G33" s="70"/>
      <c r="H33" s="1"/>
      <c r="I33" s="3"/>
    </row>
    <row r="34" spans="1:9" ht="24.9" customHeight="1" x14ac:dyDescent="0.35">
      <c r="A34" s="113">
        <v>31</v>
      </c>
      <c r="B34" s="109">
        <v>43048</v>
      </c>
      <c r="C34" s="111" t="s">
        <v>66</v>
      </c>
      <c r="D34" s="114"/>
      <c r="E34" s="79">
        <v>150</v>
      </c>
      <c r="F34" s="101">
        <f t="shared" si="0"/>
        <v>118</v>
      </c>
      <c r="G34" s="70"/>
      <c r="H34" s="1"/>
      <c r="I34" s="3"/>
    </row>
    <row r="35" spans="1:9" ht="24.9" customHeight="1" x14ac:dyDescent="0.35">
      <c r="A35" s="113">
        <v>32</v>
      </c>
      <c r="B35" s="109">
        <v>43048</v>
      </c>
      <c r="C35" s="111" t="s">
        <v>67</v>
      </c>
      <c r="D35" s="114"/>
      <c r="E35" s="73">
        <v>300</v>
      </c>
      <c r="F35" s="101">
        <f t="shared" si="0"/>
        <v>-182</v>
      </c>
      <c r="G35" s="70"/>
      <c r="H35" s="1"/>
      <c r="I35" s="3"/>
    </row>
    <row r="36" spans="1:9" ht="24.9" customHeight="1" x14ac:dyDescent="0.35">
      <c r="A36" s="113">
        <v>33</v>
      </c>
      <c r="B36" s="109">
        <v>43048</v>
      </c>
      <c r="C36" s="111" t="s">
        <v>68</v>
      </c>
      <c r="D36" s="114"/>
      <c r="E36" s="73">
        <v>90</v>
      </c>
      <c r="F36" s="101">
        <f t="shared" si="0"/>
        <v>-272</v>
      </c>
      <c r="G36" s="70"/>
      <c r="H36" s="1"/>
      <c r="I36" s="3"/>
    </row>
    <row r="37" spans="1:9" ht="24.9" customHeight="1" x14ac:dyDescent="0.35">
      <c r="A37" s="113">
        <v>34</v>
      </c>
      <c r="B37" s="109">
        <v>43049</v>
      </c>
      <c r="C37" s="110" t="s">
        <v>31</v>
      </c>
      <c r="D37" s="79"/>
      <c r="E37" s="73">
        <v>50</v>
      </c>
      <c r="F37" s="101">
        <f t="shared" si="0"/>
        <v>-322</v>
      </c>
      <c r="G37" s="70"/>
      <c r="H37" s="1"/>
      <c r="I37" s="3"/>
    </row>
    <row r="38" spans="1:9" ht="24.9" customHeight="1" x14ac:dyDescent="0.35">
      <c r="A38" s="113">
        <v>35</v>
      </c>
      <c r="B38" s="109">
        <v>43049</v>
      </c>
      <c r="C38" s="110" t="s">
        <v>35</v>
      </c>
      <c r="D38" s="79"/>
      <c r="E38" s="73">
        <v>240</v>
      </c>
      <c r="F38" s="101">
        <f t="shared" si="0"/>
        <v>-562</v>
      </c>
      <c r="G38" s="70"/>
      <c r="H38" s="1"/>
      <c r="I38" s="3"/>
    </row>
    <row r="39" spans="1:9" ht="24.9" customHeight="1" x14ac:dyDescent="0.35">
      <c r="A39" s="113">
        <v>36</v>
      </c>
      <c r="B39" s="109">
        <v>43049</v>
      </c>
      <c r="C39" s="110" t="s">
        <v>36</v>
      </c>
      <c r="D39" s="79"/>
      <c r="E39" s="73">
        <v>70</v>
      </c>
      <c r="F39" s="101">
        <f t="shared" si="0"/>
        <v>-632</v>
      </c>
      <c r="G39" s="70"/>
      <c r="H39" s="1"/>
      <c r="I39" s="3"/>
    </row>
    <row r="40" spans="1:9" ht="24.9" customHeight="1" x14ac:dyDescent="0.35">
      <c r="A40" s="113">
        <v>37</v>
      </c>
      <c r="B40" s="109">
        <v>43049</v>
      </c>
      <c r="C40" s="110" t="s">
        <v>37</v>
      </c>
      <c r="D40" s="79"/>
      <c r="E40" s="73">
        <v>144</v>
      </c>
      <c r="F40" s="101">
        <f t="shared" si="0"/>
        <v>-776</v>
      </c>
      <c r="G40" s="70"/>
      <c r="H40" s="1"/>
      <c r="I40" s="3"/>
    </row>
    <row r="41" spans="1:9" ht="24.9" customHeight="1" x14ac:dyDescent="0.35">
      <c r="A41" s="113">
        <v>38</v>
      </c>
      <c r="B41" s="109">
        <v>43049</v>
      </c>
      <c r="C41" s="110" t="s">
        <v>38</v>
      </c>
      <c r="D41" s="79"/>
      <c r="E41" s="73">
        <v>2350</v>
      </c>
      <c r="F41" s="101">
        <f t="shared" si="0"/>
        <v>-3126</v>
      </c>
      <c r="G41" s="70"/>
      <c r="H41" s="1"/>
      <c r="I41" s="3"/>
    </row>
    <row r="42" spans="1:9" ht="24.9" customHeight="1" x14ac:dyDescent="0.35">
      <c r="A42" s="113">
        <v>39</v>
      </c>
      <c r="B42" s="109">
        <v>43049</v>
      </c>
      <c r="C42" s="110" t="s">
        <v>39</v>
      </c>
      <c r="D42" s="79"/>
      <c r="E42" s="73">
        <v>15</v>
      </c>
      <c r="F42" s="101">
        <f t="shared" si="0"/>
        <v>-3141</v>
      </c>
      <c r="G42" s="70"/>
      <c r="H42" s="1"/>
      <c r="I42" s="3"/>
    </row>
    <row r="43" spans="1:9" ht="24.9" customHeight="1" x14ac:dyDescent="0.35">
      <c r="A43" s="134">
        <v>40</v>
      </c>
      <c r="B43" s="135">
        <v>43050</v>
      </c>
      <c r="C43" s="136" t="s">
        <v>30</v>
      </c>
      <c r="D43" s="137">
        <v>35000</v>
      </c>
      <c r="E43" s="139"/>
      <c r="F43" s="101">
        <f t="shared" si="0"/>
        <v>31859</v>
      </c>
      <c r="G43" s="70"/>
      <c r="H43" s="1"/>
      <c r="I43" s="3"/>
    </row>
    <row r="44" spans="1:9" ht="24.9" customHeight="1" x14ac:dyDescent="0.35">
      <c r="A44" s="113">
        <v>41</v>
      </c>
      <c r="B44" s="109">
        <v>43050</v>
      </c>
      <c r="C44" s="110" t="s">
        <v>40</v>
      </c>
      <c r="D44" s="79"/>
      <c r="E44" s="73">
        <v>240</v>
      </c>
      <c r="F44" s="101">
        <f t="shared" si="0"/>
        <v>31619</v>
      </c>
      <c r="G44" s="70"/>
      <c r="H44" s="1"/>
      <c r="I44" s="3"/>
    </row>
    <row r="45" spans="1:9" ht="24.9" customHeight="1" x14ac:dyDescent="0.35">
      <c r="A45" s="113">
        <v>42</v>
      </c>
      <c r="B45" s="109">
        <v>43050</v>
      </c>
      <c r="C45" s="110" t="s">
        <v>33</v>
      </c>
      <c r="D45" s="79"/>
      <c r="E45" s="73">
        <v>50</v>
      </c>
      <c r="F45" s="101">
        <f t="shared" si="0"/>
        <v>31569</v>
      </c>
      <c r="G45" s="70"/>
      <c r="H45" s="1"/>
      <c r="I45" s="3"/>
    </row>
    <row r="46" spans="1:9" ht="24.9" customHeight="1" x14ac:dyDescent="0.35">
      <c r="A46" s="113">
        <v>43</v>
      </c>
      <c r="B46" s="109">
        <v>43050</v>
      </c>
      <c r="C46" s="110" t="s">
        <v>32</v>
      </c>
      <c r="D46" s="79"/>
      <c r="E46" s="73">
        <v>220</v>
      </c>
      <c r="F46" s="101">
        <f t="shared" si="0"/>
        <v>31349</v>
      </c>
      <c r="H46" s="1"/>
      <c r="I46" s="3"/>
    </row>
    <row r="47" spans="1:9" ht="24.9" customHeight="1" x14ac:dyDescent="0.35">
      <c r="A47" s="113">
        <v>44</v>
      </c>
      <c r="B47" s="105">
        <v>43050</v>
      </c>
      <c r="C47" s="110" t="s">
        <v>69</v>
      </c>
      <c r="D47" s="114"/>
      <c r="E47" s="73">
        <v>155</v>
      </c>
      <c r="F47" s="101">
        <f t="shared" si="0"/>
        <v>31194</v>
      </c>
      <c r="G47" s="70"/>
      <c r="H47" s="1"/>
      <c r="I47" s="3"/>
    </row>
    <row r="48" spans="1:9" ht="24.9" customHeight="1" x14ac:dyDescent="0.35">
      <c r="A48" s="140">
        <v>45</v>
      </c>
      <c r="B48" s="132">
        <v>43050</v>
      </c>
      <c r="C48" s="112" t="s">
        <v>47</v>
      </c>
      <c r="D48" s="141"/>
      <c r="E48" s="88">
        <v>8000</v>
      </c>
      <c r="F48" s="101">
        <f t="shared" si="0"/>
        <v>23194</v>
      </c>
      <c r="G48" s="70"/>
      <c r="H48" s="1"/>
      <c r="I48" s="3"/>
    </row>
    <row r="49" spans="1:9" ht="24.9" customHeight="1" x14ac:dyDescent="0.35">
      <c r="A49" s="113">
        <v>46</v>
      </c>
      <c r="B49" s="105">
        <v>43080</v>
      </c>
      <c r="C49" s="110" t="s">
        <v>48</v>
      </c>
      <c r="D49" s="114"/>
      <c r="E49" s="73">
        <v>21000</v>
      </c>
      <c r="F49" s="101">
        <f t="shared" si="0"/>
        <v>2194</v>
      </c>
      <c r="G49" s="70"/>
      <c r="H49" s="1"/>
      <c r="I49" s="3"/>
    </row>
    <row r="50" spans="1:9" ht="24.9" customHeight="1" x14ac:dyDescent="0.35">
      <c r="A50" s="140">
        <v>47</v>
      </c>
      <c r="B50" s="132">
        <v>43080</v>
      </c>
      <c r="C50" s="112" t="s">
        <v>47</v>
      </c>
      <c r="D50" s="141"/>
      <c r="E50" s="88">
        <v>4000</v>
      </c>
      <c r="F50" s="101">
        <f t="shared" si="0"/>
        <v>-1806</v>
      </c>
      <c r="G50" s="70"/>
      <c r="H50" s="1"/>
      <c r="I50" s="3"/>
    </row>
    <row r="51" spans="1:9" ht="24.9" customHeight="1" x14ac:dyDescent="0.35">
      <c r="A51" s="134">
        <v>48</v>
      </c>
      <c r="B51" s="139" t="s">
        <v>57</v>
      </c>
      <c r="C51" s="136" t="s">
        <v>30</v>
      </c>
      <c r="D51" s="137">
        <v>20000</v>
      </c>
      <c r="E51" s="142"/>
      <c r="F51" s="101">
        <f t="shared" si="0"/>
        <v>18194</v>
      </c>
      <c r="G51" s="70"/>
      <c r="H51" s="1"/>
      <c r="I51" s="3"/>
    </row>
    <row r="52" spans="1:9" ht="24.9" customHeight="1" x14ac:dyDescent="0.35">
      <c r="A52" s="113">
        <v>49</v>
      </c>
      <c r="B52" s="105" t="s">
        <v>46</v>
      </c>
      <c r="C52" s="110" t="s">
        <v>40</v>
      </c>
      <c r="D52" s="79"/>
      <c r="E52" s="79">
        <v>60</v>
      </c>
      <c r="F52" s="101">
        <f t="shared" si="0"/>
        <v>18134</v>
      </c>
      <c r="G52" s="70"/>
      <c r="H52" s="1"/>
      <c r="I52" s="3"/>
    </row>
    <row r="53" spans="1:9" ht="24.9" customHeight="1" x14ac:dyDescent="0.35">
      <c r="A53" s="113">
        <v>50</v>
      </c>
      <c r="B53" s="105" t="s">
        <v>46</v>
      </c>
      <c r="C53" s="110" t="s">
        <v>32</v>
      </c>
      <c r="D53" s="79"/>
      <c r="E53" s="79">
        <v>200</v>
      </c>
      <c r="F53" s="101">
        <f t="shared" si="0"/>
        <v>17934</v>
      </c>
      <c r="G53" s="70"/>
      <c r="H53" s="1"/>
      <c r="I53" s="3"/>
    </row>
    <row r="54" spans="1:9" ht="24.9" customHeight="1" x14ac:dyDescent="0.35">
      <c r="A54" s="113">
        <v>51</v>
      </c>
      <c r="B54" s="109">
        <v>43052</v>
      </c>
      <c r="C54" s="110" t="s">
        <v>41</v>
      </c>
      <c r="D54" s="79"/>
      <c r="E54" s="73">
        <v>300</v>
      </c>
      <c r="F54" s="101">
        <f t="shared" si="0"/>
        <v>17634</v>
      </c>
      <c r="G54" s="70"/>
      <c r="H54" s="1"/>
      <c r="I54" s="3"/>
    </row>
    <row r="55" spans="1:9" ht="24.9" customHeight="1" x14ac:dyDescent="0.35">
      <c r="A55" s="113">
        <v>52</v>
      </c>
      <c r="B55" s="109">
        <v>43052</v>
      </c>
      <c r="C55" s="110" t="s">
        <v>42</v>
      </c>
      <c r="D55" s="79"/>
      <c r="E55" s="73">
        <v>175</v>
      </c>
      <c r="F55" s="101">
        <f t="shared" si="0"/>
        <v>17459</v>
      </c>
      <c r="G55" s="70"/>
      <c r="H55" s="1"/>
      <c r="I55" s="3"/>
    </row>
    <row r="56" spans="1:9" ht="24.9" customHeight="1" x14ac:dyDescent="0.35">
      <c r="A56" s="113">
        <v>53</v>
      </c>
      <c r="B56" s="109">
        <v>43052</v>
      </c>
      <c r="C56" s="110" t="s">
        <v>43</v>
      </c>
      <c r="D56" s="79"/>
      <c r="E56" s="73">
        <v>50</v>
      </c>
      <c r="F56" s="101">
        <f t="shared" si="0"/>
        <v>17409</v>
      </c>
      <c r="G56" s="70"/>
      <c r="H56" s="1"/>
      <c r="I56" s="3"/>
    </row>
    <row r="57" spans="1:9" ht="24.9" customHeight="1" x14ac:dyDescent="0.35">
      <c r="A57" s="113">
        <v>54</v>
      </c>
      <c r="B57" s="109">
        <v>43052</v>
      </c>
      <c r="C57" s="110" t="s">
        <v>44</v>
      </c>
      <c r="D57" s="79"/>
      <c r="E57" s="73">
        <v>100</v>
      </c>
      <c r="F57" s="101">
        <f t="shared" si="0"/>
        <v>17309</v>
      </c>
      <c r="G57" s="70"/>
      <c r="H57" s="1"/>
      <c r="I57" s="3"/>
    </row>
    <row r="58" spans="1:9" ht="24.9" customHeight="1" x14ac:dyDescent="0.35">
      <c r="A58" s="113">
        <v>55</v>
      </c>
      <c r="B58" s="109">
        <v>43052</v>
      </c>
      <c r="C58" s="110" t="s">
        <v>45</v>
      </c>
      <c r="D58" s="79"/>
      <c r="E58" s="73">
        <v>400</v>
      </c>
      <c r="F58" s="101">
        <f t="shared" si="0"/>
        <v>16909</v>
      </c>
      <c r="G58" s="70"/>
      <c r="H58" s="1"/>
      <c r="I58" s="3"/>
    </row>
    <row r="59" spans="1:9" ht="24.9" customHeight="1" x14ac:dyDescent="0.35">
      <c r="A59" s="113">
        <v>56</v>
      </c>
      <c r="B59" s="109">
        <v>43053</v>
      </c>
      <c r="C59" s="110" t="s">
        <v>49</v>
      </c>
      <c r="D59" s="79"/>
      <c r="E59" s="73">
        <v>300</v>
      </c>
      <c r="F59" s="101">
        <f t="shared" si="0"/>
        <v>16609</v>
      </c>
      <c r="G59" s="70"/>
      <c r="H59" s="1"/>
      <c r="I59" s="3"/>
    </row>
    <row r="60" spans="1:9" ht="24.9" customHeight="1" thickBot="1" x14ac:dyDescent="0.4">
      <c r="A60" s="113">
        <v>57</v>
      </c>
      <c r="B60" s="109">
        <v>43053</v>
      </c>
      <c r="C60" s="110" t="s">
        <v>50</v>
      </c>
      <c r="D60" s="79"/>
      <c r="E60" s="73">
        <v>125</v>
      </c>
      <c r="F60" s="101">
        <f t="shared" si="0"/>
        <v>16484</v>
      </c>
      <c r="G60" s="71"/>
      <c r="H60" s="31"/>
      <c r="I60" s="63"/>
    </row>
    <row r="61" spans="1:9" ht="24.9" customHeight="1" x14ac:dyDescent="0.35">
      <c r="A61" s="113">
        <v>58</v>
      </c>
      <c r="B61" s="109">
        <v>43053</v>
      </c>
      <c r="C61" s="110" t="s">
        <v>40</v>
      </c>
      <c r="D61" s="79"/>
      <c r="E61" s="73">
        <v>80</v>
      </c>
      <c r="F61" s="101">
        <f t="shared" si="0"/>
        <v>16404</v>
      </c>
      <c r="G61" s="70"/>
      <c r="H61" s="1"/>
      <c r="I61" s="3"/>
    </row>
    <row r="62" spans="1:9" ht="24.9" customHeight="1" x14ac:dyDescent="0.35">
      <c r="A62" s="113">
        <v>59</v>
      </c>
      <c r="B62" s="109">
        <v>43053</v>
      </c>
      <c r="C62" s="110" t="s">
        <v>32</v>
      </c>
      <c r="D62" s="79"/>
      <c r="E62" s="73">
        <v>200</v>
      </c>
      <c r="F62" s="101">
        <f t="shared" si="0"/>
        <v>16204</v>
      </c>
    </row>
    <row r="63" spans="1:9" ht="24.9" customHeight="1" x14ac:dyDescent="0.35">
      <c r="A63" s="140">
        <v>60</v>
      </c>
      <c r="B63" s="143">
        <v>43053</v>
      </c>
      <c r="C63" s="112" t="s">
        <v>51</v>
      </c>
      <c r="D63" s="133"/>
      <c r="E63" s="88">
        <v>10000</v>
      </c>
      <c r="F63" s="101">
        <f t="shared" si="0"/>
        <v>6204</v>
      </c>
    </row>
    <row r="64" spans="1:9" ht="24.9" customHeight="1" x14ac:dyDescent="0.35">
      <c r="A64" s="113">
        <v>61</v>
      </c>
      <c r="B64" s="109">
        <v>43053</v>
      </c>
      <c r="C64" s="110" t="s">
        <v>52</v>
      </c>
      <c r="D64" s="79"/>
      <c r="E64" s="73">
        <v>100</v>
      </c>
      <c r="F64" s="101">
        <f t="shared" si="0"/>
        <v>6104</v>
      </c>
    </row>
    <row r="65" spans="1:6" ht="24.9" customHeight="1" x14ac:dyDescent="0.35">
      <c r="A65" s="113">
        <v>62</v>
      </c>
      <c r="B65" s="78" t="s">
        <v>76</v>
      </c>
      <c r="C65" s="110" t="s">
        <v>77</v>
      </c>
      <c r="D65" s="114"/>
      <c r="E65" s="73">
        <v>5000</v>
      </c>
      <c r="F65" s="101">
        <f t="shared" si="0"/>
        <v>1104</v>
      </c>
    </row>
    <row r="66" spans="1:6" ht="24.9" customHeight="1" x14ac:dyDescent="0.35">
      <c r="A66" s="113">
        <v>63</v>
      </c>
      <c r="B66" s="109" t="s">
        <v>53</v>
      </c>
      <c r="C66" s="110" t="s">
        <v>40</v>
      </c>
      <c r="D66" s="79"/>
      <c r="E66" s="73">
        <v>50</v>
      </c>
      <c r="F66" s="101">
        <f t="shared" si="0"/>
        <v>1054</v>
      </c>
    </row>
    <row r="67" spans="1:6" ht="24.9" customHeight="1" x14ac:dyDescent="0.35">
      <c r="A67" s="113">
        <v>64</v>
      </c>
      <c r="B67" s="78" t="s">
        <v>53</v>
      </c>
      <c r="C67" s="110" t="s">
        <v>32</v>
      </c>
      <c r="D67" s="79"/>
      <c r="E67" s="73">
        <v>230</v>
      </c>
      <c r="F67" s="101">
        <f t="shared" si="0"/>
        <v>824</v>
      </c>
    </row>
    <row r="68" spans="1:6" ht="24.9" customHeight="1" x14ac:dyDescent="0.35">
      <c r="A68" s="113">
        <v>65</v>
      </c>
      <c r="B68" s="109" t="s">
        <v>53</v>
      </c>
      <c r="C68" s="110" t="s">
        <v>54</v>
      </c>
      <c r="D68" s="79"/>
      <c r="E68" s="73">
        <v>20</v>
      </c>
      <c r="F68" s="101">
        <f t="shared" si="0"/>
        <v>804</v>
      </c>
    </row>
    <row r="69" spans="1:6" ht="24.9" customHeight="1" x14ac:dyDescent="0.35">
      <c r="A69" s="113">
        <v>66</v>
      </c>
      <c r="B69" s="109" t="s">
        <v>53</v>
      </c>
      <c r="C69" s="110" t="s">
        <v>55</v>
      </c>
      <c r="D69" s="79"/>
      <c r="E69" s="73">
        <v>50</v>
      </c>
      <c r="F69" s="101">
        <f t="shared" si="0"/>
        <v>754</v>
      </c>
    </row>
    <row r="70" spans="1:6" ht="24.9" customHeight="1" x14ac:dyDescent="0.35">
      <c r="A70" s="113">
        <v>67</v>
      </c>
      <c r="B70" s="109" t="s">
        <v>53</v>
      </c>
      <c r="C70" s="110" t="s">
        <v>56</v>
      </c>
      <c r="D70" s="79"/>
      <c r="E70" s="73">
        <v>400</v>
      </c>
      <c r="F70" s="101">
        <f t="shared" si="0"/>
        <v>354</v>
      </c>
    </row>
    <row r="71" spans="1:6" ht="24.9" customHeight="1" x14ac:dyDescent="0.35">
      <c r="A71" s="140">
        <v>68</v>
      </c>
      <c r="B71" s="143" t="s">
        <v>53</v>
      </c>
      <c r="C71" s="112" t="s">
        <v>70</v>
      </c>
      <c r="D71" s="141"/>
      <c r="E71" s="88">
        <v>2000</v>
      </c>
      <c r="F71" s="101">
        <f t="shared" si="0"/>
        <v>-1646</v>
      </c>
    </row>
    <row r="72" spans="1:6" ht="24.9" customHeight="1" x14ac:dyDescent="0.35">
      <c r="A72" s="113">
        <v>69</v>
      </c>
      <c r="B72" s="109" t="s">
        <v>71</v>
      </c>
      <c r="C72" s="110" t="s">
        <v>31</v>
      </c>
      <c r="D72" s="114"/>
      <c r="E72" s="73">
        <v>60</v>
      </c>
      <c r="F72" s="101">
        <f t="shared" si="0"/>
        <v>-1706</v>
      </c>
    </row>
    <row r="73" spans="1:6" ht="24.9" customHeight="1" x14ac:dyDescent="0.35">
      <c r="A73" s="113">
        <v>70</v>
      </c>
      <c r="B73" s="109" t="s">
        <v>71</v>
      </c>
      <c r="C73" s="110" t="s">
        <v>72</v>
      </c>
      <c r="D73" s="114"/>
      <c r="E73" s="73">
        <v>500</v>
      </c>
      <c r="F73" s="101">
        <f t="shared" si="0"/>
        <v>-2206</v>
      </c>
    </row>
    <row r="74" spans="1:6" ht="24.9" customHeight="1" x14ac:dyDescent="0.35">
      <c r="A74" s="113">
        <v>71</v>
      </c>
      <c r="B74" s="109" t="s">
        <v>71</v>
      </c>
      <c r="C74" s="110" t="s">
        <v>73</v>
      </c>
      <c r="D74" s="114"/>
      <c r="E74" s="73">
        <v>50</v>
      </c>
      <c r="F74" s="101">
        <f t="shared" si="0"/>
        <v>-2256</v>
      </c>
    </row>
    <row r="75" spans="1:6" ht="24.9" customHeight="1" x14ac:dyDescent="0.35">
      <c r="A75" s="113">
        <v>72</v>
      </c>
      <c r="B75" s="109" t="s">
        <v>74</v>
      </c>
      <c r="C75" s="110" t="s">
        <v>32</v>
      </c>
      <c r="D75" s="114"/>
      <c r="E75" s="73">
        <v>270</v>
      </c>
      <c r="F75" s="101">
        <f t="shared" si="0"/>
        <v>-2526</v>
      </c>
    </row>
    <row r="76" spans="1:6" ht="24.9" customHeight="1" x14ac:dyDescent="0.35">
      <c r="A76" s="113">
        <v>73</v>
      </c>
      <c r="B76" s="109" t="s">
        <v>74</v>
      </c>
      <c r="C76" s="110" t="s">
        <v>75</v>
      </c>
      <c r="D76" s="114"/>
      <c r="E76" s="73">
        <v>20</v>
      </c>
      <c r="F76" s="101">
        <f t="shared" si="0"/>
        <v>-2546</v>
      </c>
    </row>
    <row r="77" spans="1:6" ht="24.9" customHeight="1" x14ac:dyDescent="0.35">
      <c r="A77" s="113">
        <v>74</v>
      </c>
      <c r="B77" s="107" t="s">
        <v>90</v>
      </c>
      <c r="C77" s="110" t="s">
        <v>91</v>
      </c>
      <c r="D77" s="108"/>
      <c r="E77" s="108">
        <v>60</v>
      </c>
      <c r="F77" s="106">
        <f t="shared" si="0"/>
        <v>-2606</v>
      </c>
    </row>
    <row r="78" spans="1:6" ht="24.9" customHeight="1" x14ac:dyDescent="0.35">
      <c r="A78" s="113">
        <v>75</v>
      </c>
      <c r="B78" s="107" t="s">
        <v>90</v>
      </c>
      <c r="C78" s="110" t="s">
        <v>32</v>
      </c>
      <c r="D78" s="108"/>
      <c r="E78" s="108">
        <v>200</v>
      </c>
      <c r="F78" s="106">
        <f t="shared" si="0"/>
        <v>-2806</v>
      </c>
    </row>
    <row r="79" spans="1:6" ht="24.9" customHeight="1" x14ac:dyDescent="0.35">
      <c r="A79" s="134">
        <v>76</v>
      </c>
      <c r="B79" s="144" t="s">
        <v>93</v>
      </c>
      <c r="C79" s="136" t="s">
        <v>30</v>
      </c>
      <c r="D79" s="145">
        <v>38000</v>
      </c>
      <c r="E79" s="145"/>
      <c r="F79" s="106">
        <f t="shared" ref="F79:F122" si="1">F78+D79-E79</f>
        <v>35194</v>
      </c>
    </row>
    <row r="80" spans="1:6" ht="24.9" customHeight="1" x14ac:dyDescent="0.35">
      <c r="A80" s="140">
        <v>77</v>
      </c>
      <c r="B80" s="146" t="s">
        <v>93</v>
      </c>
      <c r="C80" s="112" t="s">
        <v>94</v>
      </c>
      <c r="D80" s="147"/>
      <c r="E80" s="147">
        <v>15000</v>
      </c>
      <c r="F80" s="106">
        <f t="shared" si="1"/>
        <v>20194</v>
      </c>
    </row>
    <row r="81" spans="1:6" ht="24.9" customHeight="1" x14ac:dyDescent="0.35">
      <c r="A81" s="140">
        <v>78</v>
      </c>
      <c r="B81" s="146" t="s">
        <v>93</v>
      </c>
      <c r="C81" s="112" t="s">
        <v>95</v>
      </c>
      <c r="D81" s="147"/>
      <c r="E81" s="147">
        <v>2000</v>
      </c>
      <c r="F81" s="106">
        <f t="shared" si="1"/>
        <v>18194</v>
      </c>
    </row>
    <row r="82" spans="1:6" ht="24.9" customHeight="1" x14ac:dyDescent="0.35">
      <c r="A82" s="113">
        <v>79</v>
      </c>
      <c r="B82" s="107" t="s">
        <v>93</v>
      </c>
      <c r="C82" s="110" t="s">
        <v>96</v>
      </c>
      <c r="D82" s="108"/>
      <c r="E82" s="108">
        <v>1800</v>
      </c>
      <c r="F82" s="106">
        <f t="shared" si="1"/>
        <v>16394</v>
      </c>
    </row>
    <row r="83" spans="1:6" ht="24.9" customHeight="1" x14ac:dyDescent="0.35">
      <c r="A83" s="113">
        <v>80</v>
      </c>
      <c r="B83" s="107" t="s">
        <v>93</v>
      </c>
      <c r="C83" s="110" t="s">
        <v>97</v>
      </c>
      <c r="D83" s="108"/>
      <c r="E83" s="108">
        <v>460</v>
      </c>
      <c r="F83" s="106">
        <f t="shared" si="1"/>
        <v>15934</v>
      </c>
    </row>
    <row r="84" spans="1:6" ht="24.9" customHeight="1" x14ac:dyDescent="0.35">
      <c r="A84" s="113">
        <v>81</v>
      </c>
      <c r="B84" s="107" t="s">
        <v>93</v>
      </c>
      <c r="C84" s="110" t="s">
        <v>98</v>
      </c>
      <c r="D84" s="108"/>
      <c r="E84" s="108">
        <v>350</v>
      </c>
      <c r="F84" s="106">
        <f t="shared" si="1"/>
        <v>15584</v>
      </c>
    </row>
    <row r="85" spans="1:6" ht="24.9" customHeight="1" x14ac:dyDescent="0.35">
      <c r="A85" s="113">
        <v>82</v>
      </c>
      <c r="B85" s="107" t="s">
        <v>93</v>
      </c>
      <c r="C85" s="110" t="s">
        <v>99</v>
      </c>
      <c r="D85" s="108"/>
      <c r="E85" s="108">
        <v>350</v>
      </c>
      <c r="F85" s="106">
        <f t="shared" si="1"/>
        <v>15234</v>
      </c>
    </row>
    <row r="86" spans="1:6" ht="24.9" customHeight="1" x14ac:dyDescent="0.35">
      <c r="A86" s="113">
        <v>83</v>
      </c>
      <c r="B86" s="107" t="s">
        <v>93</v>
      </c>
      <c r="C86" s="110" t="s">
        <v>100</v>
      </c>
      <c r="D86" s="108"/>
      <c r="E86" s="108">
        <v>55</v>
      </c>
      <c r="F86" s="106">
        <f t="shared" si="1"/>
        <v>15179</v>
      </c>
    </row>
    <row r="87" spans="1:6" ht="24.9" customHeight="1" x14ac:dyDescent="0.35">
      <c r="A87" s="113">
        <v>84</v>
      </c>
      <c r="B87" s="107" t="s">
        <v>93</v>
      </c>
      <c r="C87" s="110" t="s">
        <v>101</v>
      </c>
      <c r="D87" s="108"/>
      <c r="E87" s="108">
        <v>100</v>
      </c>
      <c r="F87" s="106">
        <f t="shared" si="1"/>
        <v>15079</v>
      </c>
    </row>
    <row r="88" spans="1:6" ht="24.9" customHeight="1" x14ac:dyDescent="0.35">
      <c r="A88" s="113">
        <v>85</v>
      </c>
      <c r="B88" s="107" t="s">
        <v>102</v>
      </c>
      <c r="C88" s="110" t="s">
        <v>103</v>
      </c>
      <c r="D88" s="108"/>
      <c r="E88" s="108">
        <v>90</v>
      </c>
      <c r="F88" s="106">
        <f t="shared" si="1"/>
        <v>14989</v>
      </c>
    </row>
    <row r="89" spans="1:6" ht="24.9" customHeight="1" x14ac:dyDescent="0.35">
      <c r="A89" s="113">
        <v>86</v>
      </c>
      <c r="B89" s="107" t="s">
        <v>102</v>
      </c>
      <c r="C89" s="110" t="s">
        <v>104</v>
      </c>
      <c r="D89" s="108"/>
      <c r="E89" s="108">
        <v>100</v>
      </c>
      <c r="F89" s="106">
        <f t="shared" si="1"/>
        <v>14889</v>
      </c>
    </row>
    <row r="90" spans="1:6" ht="24.9" customHeight="1" x14ac:dyDescent="0.35">
      <c r="A90" s="140">
        <v>87</v>
      </c>
      <c r="B90" s="146" t="s">
        <v>102</v>
      </c>
      <c r="C90" s="148" t="s">
        <v>105</v>
      </c>
      <c r="D90" s="147"/>
      <c r="E90" s="147">
        <v>2000</v>
      </c>
      <c r="F90" s="106">
        <f t="shared" si="1"/>
        <v>12889</v>
      </c>
    </row>
    <row r="91" spans="1:6" ht="24.9" customHeight="1" x14ac:dyDescent="0.35">
      <c r="A91" s="113">
        <v>88</v>
      </c>
      <c r="B91" s="107" t="s">
        <v>106</v>
      </c>
      <c r="C91" s="115" t="s">
        <v>107</v>
      </c>
      <c r="D91" s="108"/>
      <c r="E91" s="108">
        <v>180</v>
      </c>
      <c r="F91" s="106">
        <f t="shared" si="1"/>
        <v>12709</v>
      </c>
    </row>
    <row r="92" spans="1:6" ht="24.9" customHeight="1" x14ac:dyDescent="0.35">
      <c r="A92" s="113">
        <v>89</v>
      </c>
      <c r="B92" s="107" t="s">
        <v>106</v>
      </c>
      <c r="C92" s="115" t="s">
        <v>108</v>
      </c>
      <c r="D92" s="108"/>
      <c r="E92" s="108">
        <v>40</v>
      </c>
      <c r="F92" s="106">
        <f t="shared" si="1"/>
        <v>12669</v>
      </c>
    </row>
    <row r="93" spans="1:6" ht="24.9" customHeight="1" x14ac:dyDescent="0.35">
      <c r="A93" s="113">
        <v>90</v>
      </c>
      <c r="B93" s="107" t="s">
        <v>106</v>
      </c>
      <c r="C93" s="115" t="s">
        <v>109</v>
      </c>
      <c r="D93" s="108"/>
      <c r="E93" s="108">
        <v>155</v>
      </c>
      <c r="F93" s="106">
        <f t="shared" si="1"/>
        <v>12514</v>
      </c>
    </row>
    <row r="94" spans="1:6" ht="24.9" customHeight="1" x14ac:dyDescent="0.35">
      <c r="A94" s="113">
        <v>91</v>
      </c>
      <c r="B94" s="107" t="s">
        <v>106</v>
      </c>
      <c r="C94" s="115" t="s">
        <v>37</v>
      </c>
      <c r="D94" s="108"/>
      <c r="E94" s="108">
        <v>144</v>
      </c>
      <c r="F94" s="106">
        <f t="shared" si="1"/>
        <v>12370</v>
      </c>
    </row>
    <row r="95" spans="1:6" ht="24.9" customHeight="1" x14ac:dyDescent="0.35">
      <c r="A95" s="113">
        <v>92</v>
      </c>
      <c r="B95" s="107" t="s">
        <v>106</v>
      </c>
      <c r="C95" s="115" t="s">
        <v>111</v>
      </c>
      <c r="D95" s="108"/>
      <c r="E95" s="108">
        <v>130</v>
      </c>
      <c r="F95" s="106">
        <f t="shared" si="1"/>
        <v>12240</v>
      </c>
    </row>
    <row r="96" spans="1:6" ht="24.9" customHeight="1" x14ac:dyDescent="0.35">
      <c r="A96" s="113">
        <v>93</v>
      </c>
      <c r="B96" s="107" t="s">
        <v>106</v>
      </c>
      <c r="C96" s="115" t="s">
        <v>110</v>
      </c>
      <c r="D96" s="108"/>
      <c r="E96" s="108">
        <v>160</v>
      </c>
      <c r="F96" s="106">
        <f t="shared" si="1"/>
        <v>12080</v>
      </c>
    </row>
    <row r="97" spans="1:6" ht="24.9" customHeight="1" x14ac:dyDescent="0.35">
      <c r="A97" s="113">
        <v>94</v>
      </c>
      <c r="B97" s="107" t="s">
        <v>106</v>
      </c>
      <c r="C97" s="115" t="s">
        <v>112</v>
      </c>
      <c r="D97" s="108"/>
      <c r="E97" s="108">
        <v>150</v>
      </c>
      <c r="F97" s="106">
        <f t="shared" si="1"/>
        <v>11930</v>
      </c>
    </row>
    <row r="98" spans="1:6" ht="24.9" customHeight="1" x14ac:dyDescent="0.35">
      <c r="A98" s="113">
        <v>95</v>
      </c>
      <c r="B98" s="107" t="s">
        <v>113</v>
      </c>
      <c r="C98" s="115" t="s">
        <v>114</v>
      </c>
      <c r="D98" s="108"/>
      <c r="E98" s="108">
        <v>100</v>
      </c>
      <c r="F98" s="106">
        <f t="shared" si="1"/>
        <v>11830</v>
      </c>
    </row>
    <row r="99" spans="1:6" ht="24.9" customHeight="1" x14ac:dyDescent="0.35">
      <c r="A99" s="113">
        <v>96</v>
      </c>
      <c r="B99" s="107" t="s">
        <v>113</v>
      </c>
      <c r="C99" s="115" t="s">
        <v>115</v>
      </c>
      <c r="D99" s="108"/>
      <c r="E99" s="108">
        <v>400</v>
      </c>
      <c r="F99" s="106">
        <f t="shared" si="1"/>
        <v>11430</v>
      </c>
    </row>
    <row r="100" spans="1:6" ht="24.9" customHeight="1" x14ac:dyDescent="0.35">
      <c r="A100" s="113">
        <v>97</v>
      </c>
      <c r="B100" s="107" t="s">
        <v>113</v>
      </c>
      <c r="C100" s="115" t="s">
        <v>116</v>
      </c>
      <c r="D100" s="108"/>
      <c r="E100" s="108">
        <v>1500</v>
      </c>
      <c r="F100" s="106">
        <f t="shared" si="1"/>
        <v>9930</v>
      </c>
    </row>
    <row r="101" spans="1:6" ht="24.9" customHeight="1" x14ac:dyDescent="0.35">
      <c r="A101" s="113">
        <v>98</v>
      </c>
      <c r="B101" s="107" t="s">
        <v>113</v>
      </c>
      <c r="C101" s="115" t="s">
        <v>117</v>
      </c>
      <c r="D101" s="108"/>
      <c r="E101" s="108">
        <v>480</v>
      </c>
      <c r="F101" s="106">
        <f t="shared" si="1"/>
        <v>9450</v>
      </c>
    </row>
    <row r="102" spans="1:6" ht="24.9" customHeight="1" x14ac:dyDescent="0.35">
      <c r="A102" s="113">
        <v>99</v>
      </c>
      <c r="B102" s="107" t="s">
        <v>113</v>
      </c>
      <c r="C102" s="115" t="s">
        <v>118</v>
      </c>
      <c r="D102" s="108"/>
      <c r="E102" s="108">
        <v>125</v>
      </c>
      <c r="F102" s="106">
        <f t="shared" si="1"/>
        <v>9325</v>
      </c>
    </row>
    <row r="103" spans="1:6" ht="24.9" customHeight="1" x14ac:dyDescent="0.35">
      <c r="A103" s="113">
        <v>100</v>
      </c>
      <c r="B103" s="107" t="s">
        <v>113</v>
      </c>
      <c r="C103" s="115" t="s">
        <v>119</v>
      </c>
      <c r="D103" s="108"/>
      <c r="E103" s="108">
        <v>40</v>
      </c>
      <c r="F103" s="106">
        <f t="shared" si="1"/>
        <v>9285</v>
      </c>
    </row>
    <row r="104" spans="1:6" ht="24.9" customHeight="1" x14ac:dyDescent="0.35">
      <c r="A104" s="113">
        <v>101</v>
      </c>
      <c r="B104" s="107" t="s">
        <v>113</v>
      </c>
      <c r="C104" s="115" t="s">
        <v>120</v>
      </c>
      <c r="D104" s="108"/>
      <c r="E104" s="108">
        <v>60</v>
      </c>
      <c r="F104" s="106">
        <f t="shared" si="1"/>
        <v>9225</v>
      </c>
    </row>
    <row r="105" spans="1:6" ht="24.9" customHeight="1" x14ac:dyDescent="0.35">
      <c r="A105" s="113">
        <v>102</v>
      </c>
      <c r="B105" s="107" t="s">
        <v>113</v>
      </c>
      <c r="C105" s="115" t="s">
        <v>121</v>
      </c>
      <c r="D105" s="114"/>
      <c r="E105" s="108">
        <v>600</v>
      </c>
      <c r="F105" s="101">
        <f t="shared" si="1"/>
        <v>8625</v>
      </c>
    </row>
    <row r="106" spans="1:6" ht="24.9" customHeight="1" x14ac:dyDescent="0.35">
      <c r="A106" s="113">
        <v>103</v>
      </c>
      <c r="B106" s="107" t="s">
        <v>113</v>
      </c>
      <c r="C106" s="115" t="s">
        <v>122</v>
      </c>
      <c r="D106" s="114"/>
      <c r="E106" s="108">
        <v>600</v>
      </c>
      <c r="F106" s="101">
        <f t="shared" si="1"/>
        <v>8025</v>
      </c>
    </row>
    <row r="107" spans="1:6" ht="24.9" customHeight="1" x14ac:dyDescent="0.35">
      <c r="A107" s="113">
        <v>104</v>
      </c>
      <c r="B107" s="107" t="s">
        <v>123</v>
      </c>
      <c r="C107" s="115" t="s">
        <v>124</v>
      </c>
      <c r="D107" s="114"/>
      <c r="E107" s="108">
        <v>430</v>
      </c>
      <c r="F107" s="101">
        <f t="shared" si="1"/>
        <v>7595</v>
      </c>
    </row>
    <row r="108" spans="1:6" ht="24.9" customHeight="1" x14ac:dyDescent="0.35">
      <c r="A108" s="113">
        <v>105</v>
      </c>
      <c r="B108" s="107" t="s">
        <v>123</v>
      </c>
      <c r="C108" s="115" t="s">
        <v>124</v>
      </c>
      <c r="D108" s="114"/>
      <c r="E108" s="108">
        <v>400</v>
      </c>
      <c r="F108" s="101">
        <f t="shared" si="1"/>
        <v>7195</v>
      </c>
    </row>
    <row r="109" spans="1:6" ht="24.9" customHeight="1" x14ac:dyDescent="0.35">
      <c r="A109" s="140">
        <v>106</v>
      </c>
      <c r="B109" s="146" t="s">
        <v>123</v>
      </c>
      <c r="C109" s="148" t="s">
        <v>125</v>
      </c>
      <c r="D109" s="141"/>
      <c r="E109" s="147">
        <v>1000</v>
      </c>
      <c r="F109" s="101">
        <f t="shared" si="1"/>
        <v>6195</v>
      </c>
    </row>
    <row r="110" spans="1:6" ht="24.9" customHeight="1" x14ac:dyDescent="0.35">
      <c r="A110" s="134">
        <v>107</v>
      </c>
      <c r="B110" s="144" t="s">
        <v>126</v>
      </c>
      <c r="C110" s="150" t="s">
        <v>30</v>
      </c>
      <c r="D110" s="145">
        <v>15000</v>
      </c>
      <c r="E110" s="145"/>
      <c r="F110" s="101">
        <f t="shared" si="1"/>
        <v>21195</v>
      </c>
    </row>
    <row r="111" spans="1:6" ht="24.9" customHeight="1" x14ac:dyDescent="0.35">
      <c r="A111" s="113">
        <v>108</v>
      </c>
      <c r="B111" s="107" t="s">
        <v>126</v>
      </c>
      <c r="C111" s="115" t="s">
        <v>124</v>
      </c>
      <c r="D111" s="1"/>
      <c r="E111" s="108">
        <v>430</v>
      </c>
      <c r="F111" s="101">
        <f t="shared" si="1"/>
        <v>20765</v>
      </c>
    </row>
    <row r="112" spans="1:6" ht="24.9" customHeight="1" x14ac:dyDescent="0.35">
      <c r="A112" s="113">
        <v>109</v>
      </c>
      <c r="B112" s="107" t="s">
        <v>126</v>
      </c>
      <c r="C112" s="115" t="s">
        <v>127</v>
      </c>
      <c r="D112" s="1"/>
      <c r="E112" s="108">
        <v>1300</v>
      </c>
      <c r="F112" s="101">
        <f t="shared" si="1"/>
        <v>19465</v>
      </c>
    </row>
    <row r="113" spans="1:6" ht="24.9" customHeight="1" x14ac:dyDescent="0.35">
      <c r="A113" s="113">
        <v>110</v>
      </c>
      <c r="B113" s="107" t="s">
        <v>126</v>
      </c>
      <c r="C113" s="115" t="s">
        <v>128</v>
      </c>
      <c r="D113" s="1"/>
      <c r="E113" s="108">
        <v>100</v>
      </c>
      <c r="F113" s="101">
        <f t="shared" si="1"/>
        <v>19365</v>
      </c>
    </row>
    <row r="114" spans="1:6" ht="24.9" customHeight="1" x14ac:dyDescent="0.35">
      <c r="A114" s="113">
        <v>111</v>
      </c>
      <c r="B114" s="149" t="s">
        <v>126</v>
      </c>
      <c r="C114" s="115" t="s">
        <v>129</v>
      </c>
      <c r="D114" s="1"/>
      <c r="E114" s="108">
        <v>70</v>
      </c>
      <c r="F114" s="101">
        <f t="shared" si="1"/>
        <v>19295</v>
      </c>
    </row>
    <row r="115" spans="1:6" ht="24.9" customHeight="1" x14ac:dyDescent="0.35">
      <c r="A115" s="113">
        <v>112</v>
      </c>
      <c r="B115" s="107" t="s">
        <v>130</v>
      </c>
      <c r="C115" s="115"/>
      <c r="D115" s="1"/>
      <c r="E115" s="108"/>
      <c r="F115" s="101">
        <f t="shared" si="1"/>
        <v>19295</v>
      </c>
    </row>
    <row r="116" spans="1:6" ht="24.9" customHeight="1" x14ac:dyDescent="0.35">
      <c r="A116" s="113"/>
      <c r="B116" s="107"/>
      <c r="C116" s="115"/>
      <c r="D116" s="1"/>
      <c r="E116" s="108"/>
      <c r="F116" s="101">
        <f t="shared" si="1"/>
        <v>19295</v>
      </c>
    </row>
    <row r="117" spans="1:6" ht="24.9" customHeight="1" x14ac:dyDescent="0.35">
      <c r="A117" s="113"/>
      <c r="B117" s="107"/>
      <c r="C117" s="115"/>
      <c r="D117" s="1"/>
      <c r="E117" s="108"/>
      <c r="F117" s="101">
        <f t="shared" si="1"/>
        <v>19295</v>
      </c>
    </row>
    <row r="118" spans="1:6" ht="24.9" customHeight="1" x14ac:dyDescent="0.35">
      <c r="A118" s="113"/>
      <c r="B118" s="107"/>
      <c r="C118" s="115"/>
      <c r="D118" s="1"/>
      <c r="E118" s="108"/>
      <c r="F118" s="101">
        <f t="shared" si="1"/>
        <v>19295</v>
      </c>
    </row>
    <row r="119" spans="1:6" ht="24.9" customHeight="1" x14ac:dyDescent="0.35">
      <c r="A119" s="113"/>
      <c r="B119" s="107"/>
      <c r="C119" s="115"/>
      <c r="D119" s="1"/>
      <c r="E119" s="108"/>
      <c r="F119" s="101">
        <f t="shared" si="1"/>
        <v>19295</v>
      </c>
    </row>
    <row r="120" spans="1:6" ht="24.9" customHeight="1" x14ac:dyDescent="0.35">
      <c r="A120" s="113"/>
      <c r="B120" s="107"/>
      <c r="C120" s="115"/>
      <c r="D120" s="1"/>
      <c r="E120" s="108"/>
      <c r="F120" s="101">
        <f t="shared" si="1"/>
        <v>19295</v>
      </c>
    </row>
    <row r="121" spans="1:6" ht="24.9" customHeight="1" x14ac:dyDescent="0.35">
      <c r="A121" s="113"/>
      <c r="B121" s="107"/>
      <c r="C121" s="115"/>
      <c r="D121" s="1"/>
      <c r="E121" s="108"/>
      <c r="F121" s="101">
        <f t="shared" si="1"/>
        <v>19295</v>
      </c>
    </row>
    <row r="122" spans="1:6" ht="24.9" customHeight="1" thickBot="1" x14ac:dyDescent="0.4">
      <c r="A122" s="119"/>
      <c r="B122" s="120"/>
      <c r="C122" s="116"/>
      <c r="D122" s="31"/>
      <c r="E122" s="124"/>
      <c r="F122" s="101">
        <f t="shared" si="1"/>
        <v>19295</v>
      </c>
    </row>
    <row r="123" spans="1:6" ht="24.9" customHeight="1" x14ac:dyDescent="0.35">
      <c r="A123" s="121"/>
      <c r="B123" s="122"/>
      <c r="C123" s="117"/>
      <c r="D123" s="64"/>
      <c r="E123" s="125"/>
      <c r="F123" s="102"/>
    </row>
    <row r="124" spans="1:6" ht="24.9" customHeight="1" x14ac:dyDescent="0.35">
      <c r="A124" s="113"/>
      <c r="B124" s="107"/>
      <c r="C124" s="115"/>
      <c r="D124" s="1"/>
      <c r="E124" s="108"/>
      <c r="F124" s="103"/>
    </row>
    <row r="125" spans="1:6" ht="24.9" customHeight="1" x14ac:dyDescent="0.35">
      <c r="A125" s="113"/>
      <c r="B125" s="107"/>
      <c r="C125" s="115"/>
      <c r="D125" s="1"/>
      <c r="E125" s="108"/>
      <c r="F125" s="103"/>
    </row>
    <row r="126" spans="1:6" ht="24.9" customHeight="1" x14ac:dyDescent="0.35">
      <c r="A126" s="113"/>
      <c r="B126" s="107"/>
      <c r="C126" s="115"/>
      <c r="D126" s="1"/>
      <c r="E126" s="108"/>
      <c r="F126" s="103"/>
    </row>
    <row r="127" spans="1:6" ht="24.9" customHeight="1" x14ac:dyDescent="0.35">
      <c r="A127" s="113"/>
      <c r="B127" s="107"/>
      <c r="C127" s="115"/>
      <c r="D127" s="1"/>
      <c r="E127" s="108"/>
      <c r="F127" s="103"/>
    </row>
    <row r="128" spans="1:6" ht="24.9" customHeight="1" x14ac:dyDescent="0.35">
      <c r="A128" s="113"/>
      <c r="B128" s="107"/>
      <c r="C128" s="115"/>
      <c r="D128" s="1"/>
      <c r="E128" s="108"/>
      <c r="F128" s="103"/>
    </row>
    <row r="129" spans="1:6" ht="24.9" customHeight="1" x14ac:dyDescent="0.35">
      <c r="A129" s="113"/>
      <c r="B129" s="107"/>
      <c r="C129" s="115"/>
      <c r="D129" s="1"/>
      <c r="E129" s="108"/>
      <c r="F129" s="103"/>
    </row>
    <row r="130" spans="1:6" ht="24.9" customHeight="1" x14ac:dyDescent="0.35">
      <c r="A130" s="113"/>
      <c r="B130" s="107"/>
      <c r="C130" s="115"/>
      <c r="D130" s="1"/>
      <c r="E130" s="108"/>
      <c r="F130" s="103"/>
    </row>
    <row r="131" spans="1:6" ht="24.9" customHeight="1" x14ac:dyDescent="0.35">
      <c r="A131" s="113"/>
      <c r="B131" s="107"/>
      <c r="C131" s="115"/>
      <c r="D131" s="1"/>
      <c r="E131" s="108"/>
      <c r="F131" s="103"/>
    </row>
    <row r="132" spans="1:6" ht="24.9" customHeight="1" x14ac:dyDescent="0.35">
      <c r="A132" s="113"/>
      <c r="B132" s="107"/>
      <c r="C132" s="115"/>
      <c r="D132" s="1"/>
      <c r="E132" s="108"/>
      <c r="F132" s="103"/>
    </row>
    <row r="133" spans="1:6" ht="24.9" customHeight="1" x14ac:dyDescent="0.35">
      <c r="A133" s="113"/>
      <c r="B133" s="107"/>
      <c r="C133" s="115"/>
      <c r="D133" s="1"/>
      <c r="E133" s="108"/>
      <c r="F133" s="103"/>
    </row>
    <row r="134" spans="1:6" ht="24.9" customHeight="1" x14ac:dyDescent="0.35">
      <c r="A134" s="113"/>
      <c r="B134" s="107"/>
      <c r="C134" s="115"/>
      <c r="D134" s="1"/>
      <c r="E134" s="108"/>
      <c r="F134" s="103"/>
    </row>
    <row r="135" spans="1:6" ht="24.9" customHeight="1" x14ac:dyDescent="0.35">
      <c r="A135" s="113"/>
      <c r="B135" s="107"/>
      <c r="C135" s="115"/>
      <c r="D135" s="1"/>
      <c r="E135" s="108"/>
      <c r="F135" s="103"/>
    </row>
    <row r="136" spans="1:6" ht="24.9" customHeight="1" x14ac:dyDescent="0.35">
      <c r="A136" s="113"/>
      <c r="B136" s="107"/>
      <c r="C136" s="115"/>
      <c r="D136" s="1"/>
      <c r="E136" s="108"/>
      <c r="F136" s="103"/>
    </row>
    <row r="137" spans="1:6" ht="24.9" customHeight="1" x14ac:dyDescent="0.35">
      <c r="A137" s="113"/>
      <c r="B137" s="107"/>
      <c r="C137" s="115"/>
      <c r="D137" s="1"/>
      <c r="E137" s="108"/>
      <c r="F137" s="103"/>
    </row>
    <row r="138" spans="1:6" ht="24.9" customHeight="1" x14ac:dyDescent="0.35">
      <c r="A138" s="113"/>
      <c r="B138" s="107"/>
      <c r="C138" s="115"/>
      <c r="D138" s="1"/>
      <c r="E138" s="108"/>
      <c r="F138" s="103"/>
    </row>
    <row r="139" spans="1:6" ht="24.9" customHeight="1" x14ac:dyDescent="0.35">
      <c r="A139" s="113"/>
      <c r="B139" s="107"/>
      <c r="C139" s="115"/>
      <c r="D139" s="1"/>
      <c r="E139" s="108"/>
      <c r="F139" s="103"/>
    </row>
    <row r="140" spans="1:6" ht="24.9" customHeight="1" x14ac:dyDescent="0.35">
      <c r="A140" s="113"/>
      <c r="B140" s="107"/>
      <c r="C140" s="115"/>
      <c r="D140" s="1"/>
      <c r="E140" s="108"/>
      <c r="F140" s="103"/>
    </row>
    <row r="141" spans="1:6" ht="24.9" customHeight="1" x14ac:dyDescent="0.35">
      <c r="A141" s="113"/>
      <c r="B141" s="107"/>
      <c r="C141" s="115"/>
      <c r="D141" s="1"/>
      <c r="E141" s="108"/>
      <c r="F141" s="103"/>
    </row>
    <row r="142" spans="1:6" ht="24.9" customHeight="1" x14ac:dyDescent="0.35">
      <c r="A142" s="113"/>
      <c r="B142" s="107"/>
      <c r="C142" s="115"/>
      <c r="D142" s="1"/>
      <c r="E142" s="108"/>
      <c r="F142" s="103"/>
    </row>
    <row r="143" spans="1:6" ht="24.9" customHeight="1" x14ac:dyDescent="0.35">
      <c r="A143" s="113"/>
      <c r="B143" s="107"/>
      <c r="C143" s="115"/>
      <c r="D143" s="1"/>
      <c r="E143" s="108"/>
      <c r="F143" s="103"/>
    </row>
    <row r="144" spans="1:6" ht="24.9" customHeight="1" x14ac:dyDescent="0.35">
      <c r="A144" s="113"/>
      <c r="B144" s="107"/>
      <c r="C144" s="115"/>
      <c r="D144" s="1"/>
      <c r="E144" s="108"/>
      <c r="F144" s="103"/>
    </row>
    <row r="145" spans="1:6" ht="24.9" customHeight="1" x14ac:dyDescent="0.35">
      <c r="A145" s="113"/>
      <c r="B145" s="107"/>
      <c r="C145" s="115"/>
      <c r="D145" s="1"/>
      <c r="E145" s="108"/>
      <c r="F145" s="103"/>
    </row>
    <row r="146" spans="1:6" ht="24.9" customHeight="1" x14ac:dyDescent="0.35">
      <c r="A146" s="113"/>
      <c r="B146" s="107"/>
      <c r="C146" s="115"/>
      <c r="D146" s="1"/>
      <c r="E146" s="108"/>
      <c r="F146" s="103"/>
    </row>
    <row r="147" spans="1:6" ht="24.9" customHeight="1" x14ac:dyDescent="0.35">
      <c r="A147" s="113"/>
      <c r="B147" s="107"/>
      <c r="C147" s="115"/>
      <c r="D147" s="1"/>
      <c r="E147" s="108"/>
      <c r="F147" s="103"/>
    </row>
    <row r="148" spans="1:6" ht="24.9" customHeight="1" x14ac:dyDescent="0.35">
      <c r="A148" s="113"/>
      <c r="B148" s="107"/>
      <c r="C148" s="115"/>
      <c r="D148" s="1"/>
      <c r="E148" s="108"/>
      <c r="F148" s="103"/>
    </row>
    <row r="149" spans="1:6" ht="24.9" customHeight="1" x14ac:dyDescent="0.35">
      <c r="A149" s="113"/>
      <c r="B149" s="107"/>
      <c r="C149" s="115"/>
      <c r="D149" s="1"/>
      <c r="E149" s="108"/>
      <c r="F149" s="103"/>
    </row>
    <row r="150" spans="1:6" ht="24.9" customHeight="1" x14ac:dyDescent="0.35">
      <c r="A150" s="113"/>
      <c r="B150" s="107"/>
      <c r="C150" s="115"/>
      <c r="D150" s="1"/>
      <c r="E150" s="108"/>
      <c r="F150" s="103"/>
    </row>
    <row r="151" spans="1:6" ht="24.9" customHeight="1" x14ac:dyDescent="0.35">
      <c r="A151" s="113"/>
      <c r="B151" s="107"/>
      <c r="C151" s="115"/>
      <c r="D151" s="1"/>
      <c r="E151" s="108"/>
      <c r="F151" s="103"/>
    </row>
    <row r="152" spans="1:6" ht="24.9" customHeight="1" x14ac:dyDescent="0.35">
      <c r="A152" s="113"/>
      <c r="B152" s="107"/>
      <c r="C152" s="115"/>
      <c r="D152" s="1"/>
      <c r="E152" s="108"/>
      <c r="F152" s="103"/>
    </row>
    <row r="153" spans="1:6" ht="24.9" customHeight="1" x14ac:dyDescent="0.35">
      <c r="A153" s="113"/>
      <c r="B153" s="107"/>
      <c r="C153" s="115"/>
      <c r="D153" s="1"/>
      <c r="E153" s="108"/>
      <c r="F153" s="103"/>
    </row>
    <row r="154" spans="1:6" ht="24.9" customHeight="1" x14ac:dyDescent="0.35">
      <c r="A154" s="113"/>
      <c r="B154" s="107"/>
      <c r="C154" s="115"/>
      <c r="D154" s="1"/>
      <c r="E154" s="108"/>
      <c r="F154" s="103"/>
    </row>
    <row r="155" spans="1:6" ht="24.9" customHeight="1" x14ac:dyDescent="0.35">
      <c r="A155" s="113"/>
      <c r="B155" s="107"/>
      <c r="C155" s="115"/>
      <c r="D155" s="1"/>
      <c r="E155" s="108"/>
      <c r="F155" s="103"/>
    </row>
    <row r="156" spans="1:6" ht="24.9" customHeight="1" x14ac:dyDescent="0.35">
      <c r="A156" s="113"/>
      <c r="B156" s="107"/>
      <c r="C156" s="115"/>
      <c r="D156" s="1"/>
      <c r="E156" s="108"/>
      <c r="F156" s="103"/>
    </row>
    <row r="157" spans="1:6" ht="24.9" customHeight="1" x14ac:dyDescent="0.35">
      <c r="A157" s="113"/>
      <c r="B157" s="107"/>
      <c r="C157" s="115"/>
      <c r="D157" s="1"/>
      <c r="E157" s="108"/>
      <c r="F157" s="103"/>
    </row>
    <row r="158" spans="1:6" ht="24.9" customHeight="1" x14ac:dyDescent="0.35">
      <c r="A158" s="113"/>
      <c r="B158" s="107"/>
      <c r="C158" s="115"/>
      <c r="D158" s="1"/>
      <c r="E158" s="108"/>
      <c r="F158" s="103"/>
    </row>
    <row r="159" spans="1:6" ht="24.9" customHeight="1" x14ac:dyDescent="0.35">
      <c r="A159" s="113"/>
      <c r="B159" s="107"/>
      <c r="C159" s="115"/>
      <c r="D159" s="1"/>
      <c r="E159" s="108"/>
      <c r="F159" s="103"/>
    </row>
    <row r="160" spans="1:6" ht="24.9" customHeight="1" x14ac:dyDescent="0.35">
      <c r="A160" s="113"/>
      <c r="B160" s="107"/>
      <c r="C160" s="115"/>
      <c r="D160" s="1"/>
      <c r="E160" s="108"/>
      <c r="F160" s="103"/>
    </row>
    <row r="161" spans="1:6" ht="24.9" customHeight="1" x14ac:dyDescent="0.35">
      <c r="A161" s="113"/>
      <c r="B161" s="107"/>
      <c r="C161" s="115"/>
      <c r="D161" s="1"/>
      <c r="E161" s="108"/>
      <c r="F161" s="103"/>
    </row>
    <row r="162" spans="1:6" ht="24.9" customHeight="1" x14ac:dyDescent="0.35">
      <c r="A162" s="113"/>
      <c r="B162" s="107"/>
      <c r="C162" s="115"/>
      <c r="D162" s="1"/>
      <c r="E162" s="108"/>
      <c r="F162" s="103"/>
    </row>
    <row r="163" spans="1:6" ht="24.9" customHeight="1" x14ac:dyDescent="0.35">
      <c r="A163" s="113"/>
      <c r="B163" s="107"/>
      <c r="C163" s="115"/>
      <c r="D163" s="1"/>
      <c r="E163" s="108"/>
      <c r="F163" s="103"/>
    </row>
    <row r="164" spans="1:6" ht="24.9" customHeight="1" x14ac:dyDescent="0.35">
      <c r="A164" s="113"/>
      <c r="B164" s="107"/>
      <c r="C164" s="115"/>
      <c r="D164" s="1"/>
      <c r="E164" s="108"/>
      <c r="F164" s="103"/>
    </row>
    <row r="165" spans="1:6" ht="24.9" customHeight="1" x14ac:dyDescent="0.35">
      <c r="A165" s="113"/>
      <c r="B165" s="107"/>
      <c r="C165" s="115"/>
      <c r="D165" s="1"/>
      <c r="E165" s="108"/>
      <c r="F165" s="103"/>
    </row>
    <row r="166" spans="1:6" ht="24.9" customHeight="1" x14ac:dyDescent="0.35">
      <c r="A166" s="113"/>
      <c r="B166" s="107"/>
      <c r="C166" s="115"/>
      <c r="D166" s="1"/>
      <c r="E166" s="108"/>
      <c r="F166" s="103"/>
    </row>
    <row r="167" spans="1:6" ht="24.9" customHeight="1" x14ac:dyDescent="0.35">
      <c r="A167" s="113"/>
      <c r="B167" s="107"/>
      <c r="C167" s="115"/>
      <c r="D167" s="1"/>
      <c r="E167" s="108"/>
      <c r="F167" s="103"/>
    </row>
    <row r="168" spans="1:6" ht="24.9" customHeight="1" x14ac:dyDescent="0.35">
      <c r="A168" s="113"/>
      <c r="B168" s="107"/>
      <c r="C168" s="115"/>
      <c r="D168" s="1"/>
      <c r="E168" s="108"/>
      <c r="F168" s="103"/>
    </row>
    <row r="169" spans="1:6" ht="24.9" customHeight="1" x14ac:dyDescent="0.35">
      <c r="A169" s="113"/>
      <c r="B169" s="107"/>
      <c r="C169" s="115"/>
      <c r="D169" s="1"/>
      <c r="E169" s="108"/>
      <c r="F169" s="103"/>
    </row>
    <row r="170" spans="1:6" ht="24.9" customHeight="1" x14ac:dyDescent="0.35">
      <c r="A170" s="113"/>
      <c r="B170" s="107"/>
      <c r="C170" s="115"/>
      <c r="D170" s="1"/>
      <c r="E170" s="108"/>
      <c r="F170" s="103"/>
    </row>
    <row r="171" spans="1:6" ht="24.9" customHeight="1" x14ac:dyDescent="0.35">
      <c r="A171" s="113"/>
      <c r="B171" s="107"/>
      <c r="C171" s="115"/>
      <c r="D171" s="1"/>
      <c r="E171" s="108"/>
      <c r="F171" s="103"/>
    </row>
    <row r="172" spans="1:6" ht="24.9" customHeight="1" x14ac:dyDescent="0.35">
      <c r="A172" s="113"/>
      <c r="B172" s="107"/>
      <c r="C172" s="115"/>
      <c r="D172" s="1"/>
      <c r="E172" s="108"/>
      <c r="F172" s="103"/>
    </row>
    <row r="173" spans="1:6" ht="24.9" customHeight="1" x14ac:dyDescent="0.35">
      <c r="A173" s="113"/>
      <c r="B173" s="107"/>
      <c r="C173" s="115"/>
      <c r="D173" s="1"/>
      <c r="E173" s="108"/>
      <c r="F173" s="103"/>
    </row>
    <row r="174" spans="1:6" ht="24.9" customHeight="1" x14ac:dyDescent="0.35">
      <c r="A174" s="113"/>
      <c r="B174" s="107"/>
      <c r="C174" s="115"/>
      <c r="D174" s="1"/>
      <c r="E174" s="108"/>
      <c r="F174" s="103"/>
    </row>
    <row r="175" spans="1:6" ht="24.9" customHeight="1" thickBot="1" x14ac:dyDescent="0.4">
      <c r="A175" s="119"/>
      <c r="B175" s="120" t="s">
        <v>12</v>
      </c>
      <c r="C175" s="116"/>
      <c r="D175" s="151">
        <f>SUM(D4:D174)</f>
        <v>118000</v>
      </c>
      <c r="E175" s="151">
        <f>SUM(E4:E174)</f>
        <v>98705</v>
      </c>
      <c r="F175" s="104"/>
    </row>
    <row r="176" spans="1:6" ht="24.9" customHeight="1" x14ac:dyDescent="0.35">
      <c r="A176" s="123"/>
      <c r="B176" s="123"/>
      <c r="C176" s="118"/>
      <c r="E176" s="126"/>
    </row>
    <row r="177" spans="1:5" ht="24.9" customHeight="1" x14ac:dyDescent="0.35">
      <c r="A177" s="123"/>
      <c r="B177" s="123"/>
      <c r="C177" s="118"/>
      <c r="E177" s="126"/>
    </row>
    <row r="178" spans="1:5" ht="18" x14ac:dyDescent="0.35">
      <c r="A178" s="123"/>
      <c r="B178" s="123"/>
      <c r="C178" s="118"/>
      <c r="E178" s="126"/>
    </row>
    <row r="179" spans="1:5" ht="18" x14ac:dyDescent="0.35">
      <c r="A179" s="123"/>
      <c r="B179" s="123"/>
      <c r="C179" s="118"/>
      <c r="E179" s="126"/>
    </row>
    <row r="180" spans="1:5" ht="18" x14ac:dyDescent="0.35">
      <c r="A180" s="123"/>
      <c r="B180" s="123"/>
      <c r="C180" s="118"/>
      <c r="E180" s="126"/>
    </row>
    <row r="181" spans="1:5" ht="18" x14ac:dyDescent="0.35">
      <c r="A181" s="123"/>
      <c r="B181" s="123"/>
      <c r="C181" s="118"/>
      <c r="E181" s="126"/>
    </row>
    <row r="182" spans="1:5" ht="18" x14ac:dyDescent="0.35">
      <c r="A182" s="123"/>
      <c r="B182" s="123"/>
      <c r="C182" s="118"/>
      <c r="E182" s="126"/>
    </row>
    <row r="183" spans="1:5" ht="18" x14ac:dyDescent="0.35">
      <c r="A183" s="123"/>
      <c r="B183" s="123"/>
      <c r="C183" s="118"/>
      <c r="E183" s="126"/>
    </row>
    <row r="184" spans="1:5" ht="18" x14ac:dyDescent="0.35">
      <c r="A184" s="123"/>
      <c r="B184" s="123"/>
      <c r="C184" s="118"/>
      <c r="E184" s="126"/>
    </row>
    <row r="185" spans="1:5" ht="18" x14ac:dyDescent="0.35">
      <c r="A185" s="123"/>
      <c r="B185" s="123"/>
      <c r="C185" s="118"/>
      <c r="E185" s="126"/>
    </row>
    <row r="186" spans="1:5" ht="18" x14ac:dyDescent="0.35">
      <c r="A186" s="123"/>
      <c r="B186" s="123"/>
      <c r="C186" s="118"/>
      <c r="E186" s="126"/>
    </row>
    <row r="187" spans="1:5" ht="18" x14ac:dyDescent="0.35">
      <c r="A187" s="123"/>
      <c r="B187" s="123"/>
      <c r="C187" s="118"/>
      <c r="E187" s="126"/>
    </row>
    <row r="188" spans="1:5" ht="18" x14ac:dyDescent="0.35">
      <c r="A188" s="123"/>
      <c r="B188" s="123"/>
      <c r="C188" s="118"/>
      <c r="E188" s="126"/>
    </row>
    <row r="189" spans="1:5" ht="18" x14ac:dyDescent="0.35">
      <c r="A189" s="123"/>
      <c r="B189" s="123"/>
      <c r="C189" s="118"/>
      <c r="E189" s="126"/>
    </row>
    <row r="190" spans="1:5" ht="18" x14ac:dyDescent="0.35">
      <c r="A190" s="123"/>
      <c r="B190" s="123"/>
      <c r="C190" s="118"/>
      <c r="E190" s="126"/>
    </row>
    <row r="191" spans="1:5" ht="18" x14ac:dyDescent="0.35">
      <c r="A191" s="123"/>
      <c r="B191" s="123"/>
      <c r="C191" s="118"/>
      <c r="E191" s="126"/>
    </row>
    <row r="192" spans="1:5" ht="18" x14ac:dyDescent="0.35">
      <c r="A192" s="123"/>
      <c r="B192" s="123"/>
      <c r="C192" s="118"/>
      <c r="E192" s="126"/>
    </row>
    <row r="193" spans="1:5" ht="18" x14ac:dyDescent="0.35">
      <c r="A193" s="123"/>
      <c r="B193" s="123"/>
      <c r="C193" s="118"/>
      <c r="E193" s="126"/>
    </row>
    <row r="194" spans="1:5" ht="18" x14ac:dyDescent="0.35">
      <c r="A194" s="123"/>
      <c r="B194" s="123"/>
      <c r="C194" s="118"/>
      <c r="E194" s="126"/>
    </row>
    <row r="195" spans="1:5" ht="18" x14ac:dyDescent="0.35">
      <c r="A195" s="123"/>
      <c r="B195" s="123"/>
      <c r="C195" s="118"/>
      <c r="E195" s="126"/>
    </row>
    <row r="196" spans="1:5" ht="18" x14ac:dyDescent="0.35">
      <c r="A196" s="123"/>
      <c r="B196" s="123"/>
      <c r="C196" s="118"/>
      <c r="E196" s="126"/>
    </row>
    <row r="197" spans="1:5" ht="18" x14ac:dyDescent="0.35">
      <c r="A197" s="123"/>
      <c r="B197" s="123"/>
      <c r="C197" s="118"/>
      <c r="E197" s="126"/>
    </row>
    <row r="198" spans="1:5" ht="18" x14ac:dyDescent="0.35">
      <c r="A198" s="123"/>
      <c r="B198" s="123"/>
      <c r="C198" s="118"/>
      <c r="E198" s="126"/>
    </row>
    <row r="199" spans="1:5" ht="18" x14ac:dyDescent="0.35">
      <c r="A199" s="123"/>
      <c r="B199" s="123"/>
      <c r="C199" s="118"/>
      <c r="E199" s="126"/>
    </row>
    <row r="200" spans="1:5" ht="18" x14ac:dyDescent="0.35">
      <c r="A200" s="123"/>
      <c r="B200" s="123"/>
      <c r="C200" s="118"/>
      <c r="E200" s="12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Daily Progress Sheet</vt:lpstr>
      <vt:lpstr>CMT</vt:lpstr>
      <vt:lpstr>Self Made </vt:lpstr>
      <vt:lpstr>Sheet4</vt:lpstr>
      <vt:lpstr>Sheet3</vt:lpstr>
      <vt:lpstr>Balance Sheet</vt:lpstr>
      <vt:lpstr>Sheet2</vt:lpstr>
      <vt:lpstr>Balance 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2018-02-23T10:46:15Z</cp:lastPrinted>
  <dcterms:created xsi:type="dcterms:W3CDTF">2007-05-21T08:16:53Z</dcterms:created>
  <dcterms:modified xsi:type="dcterms:W3CDTF">2025-10-02T18:37:38Z</dcterms:modified>
</cp:coreProperties>
</file>